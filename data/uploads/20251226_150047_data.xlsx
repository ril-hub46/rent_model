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f971f9030f675d/Bureau/Model de partage de rente/"/>
    </mc:Choice>
  </mc:AlternateContent>
  <xr:revisionPtr revIDLastSave="382" documentId="8_{731D87BD-35C9-48B8-BD70-435D637FD0D5}" xr6:coauthVersionLast="47" xr6:coauthVersionMax="47" xr10:uidLastSave="{825F19DA-7FD3-474E-B771-C40C7584939E}"/>
  <bookViews>
    <workbookView xWindow="-108" yWindow="-108" windowWidth="23256" windowHeight="13896" firstSheet="5" activeTab="5" xr2:uid="{CAFAB8AF-AA33-4E3B-AFD4-BACD30F0BC63}"/>
  </bookViews>
  <sheets>
    <sheet name="Graphique" sheetId="8" r:id="rId1"/>
    <sheet name="Récapitulatif" sheetId="7" r:id="rId2"/>
    <sheet name="Modèle de base (CM 2003)" sheetId="1" r:id="rId3"/>
    <sheet name="Code Minier 2015" sheetId="4" r:id="rId4"/>
    <sheet name="Code général des impôts 2017" sheetId="5" r:id="rId5"/>
    <sheet name="BURKINA code minier 2003" sheetId="6" r:id="rId6"/>
    <sheet name="Données fiscales" sheetId="2" r:id="rId7"/>
    <sheet name="Amortissement" sheetId="3" r:id="rId8"/>
    <sheet name="Données de la min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7" l="1"/>
  <c r="N7" i="1"/>
  <c r="E61" i="8"/>
  <c r="D61" i="8"/>
  <c r="F106" i="8"/>
  <c r="G106" i="8"/>
  <c r="H106" i="8"/>
  <c r="E106" i="8"/>
  <c r="H58" i="4"/>
  <c r="I58" i="4"/>
  <c r="G58" i="4"/>
  <c r="F58" i="4"/>
  <c r="C19" i="8" l="1"/>
  <c r="D19" i="8"/>
  <c r="E19" i="8"/>
  <c r="F19" i="8"/>
  <c r="G19" i="8"/>
  <c r="H19" i="8"/>
  <c r="I19" i="8"/>
  <c r="J19" i="8"/>
  <c r="K19" i="8"/>
  <c r="L19" i="8"/>
  <c r="M19" i="8"/>
  <c r="D18" i="8"/>
  <c r="E18" i="8"/>
  <c r="F18" i="8"/>
  <c r="G18" i="8"/>
  <c r="H18" i="8"/>
  <c r="I18" i="8"/>
  <c r="J18" i="8"/>
  <c r="K18" i="8"/>
  <c r="L18" i="8"/>
  <c r="M18" i="8"/>
  <c r="C18" i="8"/>
  <c r="E64" i="8"/>
  <c r="D64" i="8"/>
  <c r="L65" i="8"/>
  <c r="M65" i="8"/>
  <c r="N65" i="8"/>
  <c r="G65" i="8"/>
  <c r="H65" i="8"/>
  <c r="I65" i="8"/>
  <c r="J65" i="8"/>
  <c r="K65" i="8"/>
  <c r="F65" i="8"/>
  <c r="I23" i="7" l="1"/>
  <c r="D48" i="8"/>
  <c r="E48" i="8"/>
  <c r="C48" i="8"/>
  <c r="D44" i="8"/>
  <c r="E44" i="8"/>
  <c r="C44" i="8"/>
  <c r="D32" i="8"/>
  <c r="D31" i="8"/>
  <c r="B36" i="6"/>
  <c r="B43" i="6"/>
  <c r="B8" i="6"/>
  <c r="B11" i="6"/>
  <c r="B43" i="5"/>
  <c r="B36" i="5"/>
  <c r="B11" i="5"/>
  <c r="B8" i="5"/>
  <c r="B42" i="1" l="1"/>
  <c r="E8" i="4" l="1"/>
  <c r="B8" i="4"/>
  <c r="B36" i="4"/>
  <c r="B11" i="4"/>
  <c r="F8" i="4"/>
  <c r="G8" i="4"/>
  <c r="H8" i="4"/>
  <c r="I8" i="4"/>
  <c r="J8" i="4"/>
  <c r="K8" i="4"/>
  <c r="L8" i="4"/>
  <c r="M8" i="4"/>
  <c r="B36" i="1"/>
  <c r="C37" i="1" s="1"/>
  <c r="B11" i="1"/>
  <c r="B8" i="1"/>
  <c r="F9" i="1" s="1"/>
  <c r="D37" i="1" l="1"/>
  <c r="F37" i="1"/>
  <c r="K9" i="1"/>
  <c r="K37" i="1" s="1"/>
  <c r="G9" i="1"/>
  <c r="G37" i="1" s="1"/>
  <c r="M9" i="1"/>
  <c r="M37" i="1" s="1"/>
  <c r="L9" i="1"/>
  <c r="L37" i="1" s="1"/>
  <c r="J9" i="1"/>
  <c r="J37" i="1" s="1"/>
  <c r="I9" i="1"/>
  <c r="I37" i="1" s="1"/>
  <c r="H9" i="1"/>
  <c r="H37" i="1" s="1"/>
  <c r="E9" i="1"/>
  <c r="E37" i="1" s="1"/>
  <c r="D34" i="8" l="1"/>
  <c r="B51" i="6"/>
  <c r="F48" i="6"/>
  <c r="G48" i="6"/>
  <c r="H48" i="6"/>
  <c r="E41" i="6"/>
  <c r="F41" i="6"/>
  <c r="G41" i="6"/>
  <c r="C2" i="6"/>
  <c r="D2" i="6"/>
  <c r="E2" i="6"/>
  <c r="F2" i="6"/>
  <c r="G2" i="6"/>
  <c r="H2" i="6"/>
  <c r="I2" i="6"/>
  <c r="J2" i="6"/>
  <c r="K2" i="6"/>
  <c r="L2" i="6"/>
  <c r="M2" i="6"/>
  <c r="C3" i="6"/>
  <c r="D3" i="6"/>
  <c r="E3" i="6"/>
  <c r="F3" i="6"/>
  <c r="G3" i="6"/>
  <c r="H3" i="6"/>
  <c r="I3" i="6"/>
  <c r="J3" i="6"/>
  <c r="K3" i="6"/>
  <c r="L3" i="6"/>
  <c r="M3" i="6"/>
  <c r="C4" i="6"/>
  <c r="D4" i="6"/>
  <c r="E4" i="6"/>
  <c r="F4" i="6"/>
  <c r="G4" i="6"/>
  <c r="H4" i="6"/>
  <c r="I4" i="6"/>
  <c r="J4" i="6"/>
  <c r="K4" i="6"/>
  <c r="L4" i="6"/>
  <c r="M4" i="6"/>
  <c r="C5" i="6"/>
  <c r="D5" i="6"/>
  <c r="E5" i="6"/>
  <c r="F5" i="6"/>
  <c r="G5" i="6"/>
  <c r="H5" i="6"/>
  <c r="I5" i="6"/>
  <c r="J5" i="6"/>
  <c r="K5" i="6"/>
  <c r="L5" i="6"/>
  <c r="M5" i="6"/>
  <c r="C6" i="6"/>
  <c r="D6" i="6"/>
  <c r="E6" i="6"/>
  <c r="F6" i="6"/>
  <c r="G6" i="6"/>
  <c r="H6" i="6"/>
  <c r="I6" i="6"/>
  <c r="J6" i="6"/>
  <c r="K6" i="6"/>
  <c r="L6" i="6"/>
  <c r="M6" i="6"/>
  <c r="C7" i="6"/>
  <c r="C9" i="6" s="1"/>
  <c r="D7" i="6"/>
  <c r="D9" i="6" s="1"/>
  <c r="D40" i="6" s="1"/>
  <c r="E7" i="6"/>
  <c r="E9" i="6" s="1"/>
  <c r="F7" i="6"/>
  <c r="F9" i="6" s="1"/>
  <c r="G7" i="6"/>
  <c r="G9" i="6" s="1"/>
  <c r="H7" i="6"/>
  <c r="H9" i="6" s="1"/>
  <c r="I7" i="6"/>
  <c r="I9" i="6" s="1"/>
  <c r="J7" i="6"/>
  <c r="J9" i="6" s="1"/>
  <c r="K7" i="6"/>
  <c r="K9" i="6" s="1"/>
  <c r="L7" i="6"/>
  <c r="L9" i="6" s="1"/>
  <c r="M7" i="6"/>
  <c r="M9" i="6" s="1"/>
  <c r="C8" i="6"/>
  <c r="D8" i="6"/>
  <c r="E8" i="6"/>
  <c r="F8" i="6"/>
  <c r="G8" i="6"/>
  <c r="H8" i="6"/>
  <c r="I8" i="6"/>
  <c r="J8" i="6"/>
  <c r="K8" i="6"/>
  <c r="L8" i="6"/>
  <c r="M8" i="6"/>
  <c r="C10" i="6"/>
  <c r="D10" i="6"/>
  <c r="E10" i="6"/>
  <c r="F10" i="6"/>
  <c r="G10" i="6"/>
  <c r="H10" i="6"/>
  <c r="I10" i="6"/>
  <c r="J10" i="6"/>
  <c r="K10" i="6"/>
  <c r="L10" i="6"/>
  <c r="M10" i="6"/>
  <c r="C11" i="6"/>
  <c r="D11" i="6"/>
  <c r="E11" i="6"/>
  <c r="F11" i="6"/>
  <c r="G11" i="6"/>
  <c r="H11" i="6"/>
  <c r="I11" i="6"/>
  <c r="J11" i="6"/>
  <c r="K11" i="6"/>
  <c r="L11" i="6"/>
  <c r="M11" i="6"/>
  <c r="C12" i="6"/>
  <c r="D12" i="6"/>
  <c r="E12" i="6"/>
  <c r="F12" i="6"/>
  <c r="G12" i="6"/>
  <c r="H12" i="6"/>
  <c r="I12" i="6"/>
  <c r="J12" i="6"/>
  <c r="K12" i="6"/>
  <c r="L12" i="6"/>
  <c r="M12" i="6"/>
  <c r="C13" i="6"/>
  <c r="D13" i="6"/>
  <c r="E13" i="6"/>
  <c r="F13" i="6"/>
  <c r="G13" i="6"/>
  <c r="H13" i="6"/>
  <c r="I13" i="6"/>
  <c r="J13" i="6"/>
  <c r="K13" i="6"/>
  <c r="L13" i="6"/>
  <c r="M13" i="6"/>
  <c r="C14" i="6"/>
  <c r="D14" i="6"/>
  <c r="E14" i="6"/>
  <c r="F14" i="6"/>
  <c r="G14" i="6"/>
  <c r="H14" i="6"/>
  <c r="I14" i="6"/>
  <c r="J14" i="6"/>
  <c r="K14" i="6"/>
  <c r="L14" i="6"/>
  <c r="M14" i="6"/>
  <c r="C15" i="6"/>
  <c r="D15" i="6"/>
  <c r="E15" i="6"/>
  <c r="F15" i="6"/>
  <c r="G15" i="6"/>
  <c r="H15" i="6"/>
  <c r="I15" i="6"/>
  <c r="J15" i="6"/>
  <c r="K15" i="6"/>
  <c r="L15" i="6"/>
  <c r="M15" i="6"/>
  <c r="C16" i="6"/>
  <c r="D16" i="6"/>
  <c r="E16" i="6"/>
  <c r="F16" i="6"/>
  <c r="G16" i="6"/>
  <c r="H16" i="6"/>
  <c r="I16" i="6"/>
  <c r="J16" i="6"/>
  <c r="K16" i="6"/>
  <c r="L16" i="6"/>
  <c r="M16" i="6"/>
  <c r="C17" i="6"/>
  <c r="D17" i="6"/>
  <c r="E17" i="6"/>
  <c r="F17" i="6"/>
  <c r="G17" i="6"/>
  <c r="H17" i="6"/>
  <c r="I17" i="6"/>
  <c r="J17" i="6"/>
  <c r="K17" i="6"/>
  <c r="L17" i="6"/>
  <c r="M17" i="6"/>
  <c r="C19" i="6"/>
  <c r="D19" i="6"/>
  <c r="E19" i="6"/>
  <c r="F19" i="6"/>
  <c r="G19" i="6"/>
  <c r="H19" i="6"/>
  <c r="I19" i="6"/>
  <c r="J19" i="6"/>
  <c r="K19" i="6"/>
  <c r="L19" i="6"/>
  <c r="M19" i="6"/>
  <c r="C20" i="6"/>
  <c r="D20" i="6"/>
  <c r="E20" i="6"/>
  <c r="E21" i="6" s="1"/>
  <c r="F20" i="6"/>
  <c r="G20" i="6"/>
  <c r="H20" i="6"/>
  <c r="I20" i="6"/>
  <c r="J20" i="6"/>
  <c r="K20" i="6"/>
  <c r="L20" i="6"/>
  <c r="M20" i="6"/>
  <c r="C21" i="6"/>
  <c r="D21" i="6"/>
  <c r="C22" i="6"/>
  <c r="D22" i="6"/>
  <c r="E22" i="6"/>
  <c r="F22" i="6"/>
  <c r="G22" i="6"/>
  <c r="H22" i="6"/>
  <c r="I22" i="6"/>
  <c r="J22" i="6"/>
  <c r="K22" i="6"/>
  <c r="L22" i="6"/>
  <c r="M22" i="6"/>
  <c r="C24" i="6"/>
  <c r="D24" i="6"/>
  <c r="E24" i="6"/>
  <c r="F24" i="6"/>
  <c r="G24" i="6"/>
  <c r="H24" i="6"/>
  <c r="I24" i="6"/>
  <c r="J24" i="6"/>
  <c r="K24" i="6"/>
  <c r="L24" i="6"/>
  <c r="M24" i="6"/>
  <c r="D26" i="6"/>
  <c r="E26" i="6"/>
  <c r="F26" i="6"/>
  <c r="G26" i="6"/>
  <c r="H26" i="6"/>
  <c r="I26" i="6"/>
  <c r="J26" i="6"/>
  <c r="K26" i="6"/>
  <c r="L26" i="6"/>
  <c r="M26" i="6"/>
  <c r="D27" i="6"/>
  <c r="C28" i="6"/>
  <c r="D28" i="6"/>
  <c r="E28" i="6"/>
  <c r="F28" i="6"/>
  <c r="G28" i="6"/>
  <c r="H28" i="6"/>
  <c r="I28" i="6"/>
  <c r="J28" i="6"/>
  <c r="K28" i="6"/>
  <c r="L28" i="6"/>
  <c r="M28" i="6"/>
  <c r="D29" i="6"/>
  <c r="E29" i="6"/>
  <c r="F29" i="6"/>
  <c r="G29" i="6"/>
  <c r="H29" i="6"/>
  <c r="I29" i="6"/>
  <c r="J29" i="6"/>
  <c r="K29" i="6"/>
  <c r="L29" i="6"/>
  <c r="M29" i="6"/>
  <c r="C30" i="6"/>
  <c r="D30" i="6"/>
  <c r="E30" i="6"/>
  <c r="F30" i="6"/>
  <c r="G30" i="6"/>
  <c r="H30" i="6"/>
  <c r="I30" i="6"/>
  <c r="J30" i="6"/>
  <c r="K30" i="6"/>
  <c r="L30" i="6"/>
  <c r="M30" i="6"/>
  <c r="C31" i="6"/>
  <c r="D31" i="6"/>
  <c r="E31" i="6"/>
  <c r="F31" i="6"/>
  <c r="G31" i="6"/>
  <c r="H31" i="6"/>
  <c r="I31" i="6"/>
  <c r="J31" i="6"/>
  <c r="K31" i="6"/>
  <c r="L31" i="6"/>
  <c r="M31" i="6"/>
  <c r="C32" i="6"/>
  <c r="C33" i="6" s="1"/>
  <c r="D32" i="6"/>
  <c r="D33" i="6" s="1"/>
  <c r="E32" i="6"/>
  <c r="E33" i="6" s="1"/>
  <c r="F32" i="6"/>
  <c r="F33" i="6" s="1"/>
  <c r="G32" i="6"/>
  <c r="G33" i="6" s="1"/>
  <c r="H32" i="6"/>
  <c r="H33" i="6" s="1"/>
  <c r="I32" i="6"/>
  <c r="I33" i="6" s="1"/>
  <c r="J32" i="6"/>
  <c r="J33" i="6" s="1"/>
  <c r="K32" i="6"/>
  <c r="K33" i="6" s="1"/>
  <c r="L32" i="6"/>
  <c r="L33" i="6" s="1"/>
  <c r="M32" i="6"/>
  <c r="M33" i="6" s="1"/>
  <c r="C34" i="6"/>
  <c r="D34" i="6"/>
  <c r="E34" i="6"/>
  <c r="F34" i="6"/>
  <c r="G34" i="6"/>
  <c r="H34" i="6"/>
  <c r="I34" i="6"/>
  <c r="J34" i="6"/>
  <c r="K34" i="6"/>
  <c r="L34" i="6"/>
  <c r="M34" i="6"/>
  <c r="C35" i="6"/>
  <c r="D35" i="6"/>
  <c r="E35" i="6"/>
  <c r="F35" i="6"/>
  <c r="G35" i="6"/>
  <c r="H35" i="6"/>
  <c r="I35" i="6"/>
  <c r="J35" i="6"/>
  <c r="K35" i="6"/>
  <c r="L35" i="6"/>
  <c r="M35" i="6"/>
  <c r="D36" i="6"/>
  <c r="C38" i="6"/>
  <c r="D38" i="6"/>
  <c r="E38" i="6"/>
  <c r="F38" i="6"/>
  <c r="G38" i="6"/>
  <c r="H38" i="6"/>
  <c r="I38" i="6"/>
  <c r="J38" i="6"/>
  <c r="K38" i="6"/>
  <c r="L38" i="6"/>
  <c r="M38" i="6"/>
  <c r="C41" i="6"/>
  <c r="D41" i="6"/>
  <c r="H41" i="6"/>
  <c r="I41" i="6"/>
  <c r="J41" i="6"/>
  <c r="K41" i="6"/>
  <c r="L41" i="6"/>
  <c r="M41" i="6"/>
  <c r="C43" i="6"/>
  <c r="D43" i="6"/>
  <c r="C44" i="6"/>
  <c r="D44" i="6"/>
  <c r="E44" i="6"/>
  <c r="F44" i="6"/>
  <c r="G44" i="6"/>
  <c r="H44" i="6"/>
  <c r="I44" i="6"/>
  <c r="C46" i="6"/>
  <c r="D46" i="6"/>
  <c r="E46" i="6"/>
  <c r="F46" i="6"/>
  <c r="G46" i="6"/>
  <c r="H46" i="6"/>
  <c r="I46" i="6"/>
  <c r="J46" i="6"/>
  <c r="K46" i="6"/>
  <c r="L46" i="6"/>
  <c r="M46" i="6"/>
  <c r="C48" i="6"/>
  <c r="D48" i="6"/>
  <c r="E48" i="6"/>
  <c r="I48" i="6"/>
  <c r="J48" i="6"/>
  <c r="K48" i="6"/>
  <c r="L48" i="6"/>
  <c r="M48" i="6"/>
  <c r="C52" i="6"/>
  <c r="D52" i="6"/>
  <c r="E52" i="6"/>
  <c r="F52" i="6"/>
  <c r="G52" i="6"/>
  <c r="H52" i="6"/>
  <c r="I52" i="6"/>
  <c r="J52" i="6"/>
  <c r="K52" i="6"/>
  <c r="L52" i="6"/>
  <c r="M52" i="6"/>
  <c r="C53" i="6"/>
  <c r="D53" i="6"/>
  <c r="E53" i="6"/>
  <c r="F53" i="6"/>
  <c r="G53" i="6"/>
  <c r="H53" i="6"/>
  <c r="I53" i="6"/>
  <c r="J53" i="6"/>
  <c r="K53" i="6"/>
  <c r="L53" i="6"/>
  <c r="M53" i="6"/>
  <c r="D56" i="6"/>
  <c r="E56" i="6"/>
  <c r="F56" i="6"/>
  <c r="G56" i="6"/>
  <c r="H56" i="6"/>
  <c r="I56" i="6"/>
  <c r="J56" i="6"/>
  <c r="K56" i="6"/>
  <c r="L56" i="6"/>
  <c r="M56" i="6"/>
  <c r="D57" i="6"/>
  <c r="E57" i="6"/>
  <c r="F57" i="6"/>
  <c r="G57" i="6"/>
  <c r="H57" i="6"/>
  <c r="I57" i="6"/>
  <c r="J57" i="6"/>
  <c r="K57" i="6"/>
  <c r="L57" i="6"/>
  <c r="M57" i="6"/>
  <c r="D58" i="6"/>
  <c r="E58" i="6"/>
  <c r="D1" i="6"/>
  <c r="E1" i="6"/>
  <c r="F1" i="6"/>
  <c r="G1" i="6"/>
  <c r="H1" i="6"/>
  <c r="I1" i="6"/>
  <c r="J1" i="6"/>
  <c r="K1" i="6"/>
  <c r="L1" i="6"/>
  <c r="M1" i="6"/>
  <c r="C1" i="6"/>
  <c r="C90" i="2"/>
  <c r="C28" i="5"/>
  <c r="B40" i="5"/>
  <c r="A40" i="5"/>
  <c r="N47" i="5"/>
  <c r="C29" i="5"/>
  <c r="C2" i="5"/>
  <c r="D2" i="5"/>
  <c r="E2" i="5"/>
  <c r="F2" i="5"/>
  <c r="G2" i="5"/>
  <c r="H2" i="5"/>
  <c r="I2" i="5"/>
  <c r="J2" i="5"/>
  <c r="K2" i="5"/>
  <c r="L2" i="5"/>
  <c r="M2" i="5"/>
  <c r="C3" i="5"/>
  <c r="D3" i="5"/>
  <c r="E3" i="5"/>
  <c r="F3" i="5"/>
  <c r="G3" i="5"/>
  <c r="H3" i="5"/>
  <c r="I3" i="5"/>
  <c r="J3" i="5"/>
  <c r="K3" i="5"/>
  <c r="L3" i="5"/>
  <c r="M3" i="5"/>
  <c r="C4" i="5"/>
  <c r="D4" i="5"/>
  <c r="E4" i="5"/>
  <c r="F4" i="5"/>
  <c r="G4" i="5"/>
  <c r="H4" i="5"/>
  <c r="I4" i="5"/>
  <c r="J4" i="5"/>
  <c r="K4" i="5"/>
  <c r="L4" i="5"/>
  <c r="M4" i="5"/>
  <c r="C5" i="5"/>
  <c r="D5" i="5"/>
  <c r="E5" i="5"/>
  <c r="F5" i="5"/>
  <c r="G5" i="5"/>
  <c r="H5" i="5"/>
  <c r="I5" i="5"/>
  <c r="J5" i="5"/>
  <c r="K5" i="5"/>
  <c r="L5" i="5"/>
  <c r="M5" i="5"/>
  <c r="C6" i="5"/>
  <c r="D6" i="5"/>
  <c r="E6" i="5"/>
  <c r="F6" i="5"/>
  <c r="G6" i="5"/>
  <c r="H6" i="5"/>
  <c r="I6" i="5"/>
  <c r="J6" i="5"/>
  <c r="K6" i="5"/>
  <c r="L6" i="5"/>
  <c r="M6" i="5"/>
  <c r="C7" i="5"/>
  <c r="C9" i="5" s="1"/>
  <c r="D7" i="5"/>
  <c r="D9" i="5" s="1"/>
  <c r="E7" i="5"/>
  <c r="E9" i="5" s="1"/>
  <c r="F7" i="5"/>
  <c r="F9" i="5" s="1"/>
  <c r="G7" i="5"/>
  <c r="G9" i="5" s="1"/>
  <c r="H7" i="5"/>
  <c r="H9" i="5" s="1"/>
  <c r="I7" i="5"/>
  <c r="I9" i="5" s="1"/>
  <c r="J7" i="5"/>
  <c r="J9" i="5" s="1"/>
  <c r="K7" i="5"/>
  <c r="K9" i="5" s="1"/>
  <c r="L7" i="5"/>
  <c r="L9" i="5" s="1"/>
  <c r="M7" i="5"/>
  <c r="M9" i="5" s="1"/>
  <c r="C8" i="5"/>
  <c r="D8" i="5"/>
  <c r="E8" i="5"/>
  <c r="F8" i="5"/>
  <c r="G8" i="5"/>
  <c r="H8" i="5"/>
  <c r="I8" i="5"/>
  <c r="J8" i="5"/>
  <c r="K8" i="5"/>
  <c r="L8" i="5"/>
  <c r="M8" i="5"/>
  <c r="C10" i="5"/>
  <c r="D10" i="5"/>
  <c r="E10" i="5"/>
  <c r="F10" i="5"/>
  <c r="G10" i="5"/>
  <c r="H10" i="5"/>
  <c r="I10" i="5"/>
  <c r="J10" i="5"/>
  <c r="K10" i="5"/>
  <c r="L10" i="5"/>
  <c r="M10" i="5"/>
  <c r="C11" i="5"/>
  <c r="D11" i="5"/>
  <c r="E11" i="5"/>
  <c r="F11" i="5"/>
  <c r="G11" i="5"/>
  <c r="H11" i="5"/>
  <c r="I11" i="5"/>
  <c r="J11" i="5"/>
  <c r="K11" i="5"/>
  <c r="L11" i="5"/>
  <c r="M11" i="5"/>
  <c r="C12" i="5"/>
  <c r="D12" i="5"/>
  <c r="E12" i="5"/>
  <c r="F12" i="5"/>
  <c r="G12" i="5"/>
  <c r="H12" i="5"/>
  <c r="I12" i="5"/>
  <c r="J12" i="5"/>
  <c r="K12" i="5"/>
  <c r="L12" i="5"/>
  <c r="M12" i="5"/>
  <c r="C13" i="5"/>
  <c r="D13" i="5"/>
  <c r="E13" i="5"/>
  <c r="F13" i="5"/>
  <c r="G13" i="5"/>
  <c r="H13" i="5"/>
  <c r="I13" i="5"/>
  <c r="J13" i="5"/>
  <c r="K13" i="5"/>
  <c r="L13" i="5"/>
  <c r="M13" i="5"/>
  <c r="C14" i="5"/>
  <c r="D14" i="5"/>
  <c r="E14" i="5"/>
  <c r="F14" i="5"/>
  <c r="G14" i="5"/>
  <c r="H14" i="5"/>
  <c r="I14" i="5"/>
  <c r="J14" i="5"/>
  <c r="K14" i="5"/>
  <c r="L14" i="5"/>
  <c r="M14" i="5"/>
  <c r="C15" i="5"/>
  <c r="D15" i="5"/>
  <c r="E15" i="5"/>
  <c r="F15" i="5"/>
  <c r="G15" i="5"/>
  <c r="H15" i="5"/>
  <c r="I15" i="5"/>
  <c r="J15" i="5"/>
  <c r="K15" i="5"/>
  <c r="L15" i="5"/>
  <c r="M15" i="5"/>
  <c r="C16" i="5"/>
  <c r="D16" i="5"/>
  <c r="E16" i="5"/>
  <c r="F16" i="5"/>
  <c r="G16" i="5"/>
  <c r="H16" i="5"/>
  <c r="I16" i="5"/>
  <c r="J16" i="5"/>
  <c r="K16" i="5"/>
  <c r="L16" i="5"/>
  <c r="M16" i="5"/>
  <c r="C17" i="5"/>
  <c r="D17" i="5"/>
  <c r="E17" i="5"/>
  <c r="F17" i="5"/>
  <c r="G17" i="5"/>
  <c r="H17" i="5"/>
  <c r="I17" i="5"/>
  <c r="J17" i="5"/>
  <c r="K17" i="5"/>
  <c r="L17" i="5"/>
  <c r="M17" i="5"/>
  <c r="C19" i="5"/>
  <c r="D19" i="5"/>
  <c r="E19" i="5"/>
  <c r="F19" i="5"/>
  <c r="G19" i="5"/>
  <c r="H19" i="5"/>
  <c r="I19" i="5"/>
  <c r="J19" i="5"/>
  <c r="K19" i="5"/>
  <c r="L19" i="5"/>
  <c r="M19" i="5"/>
  <c r="C20" i="5"/>
  <c r="D20" i="5"/>
  <c r="E20" i="5"/>
  <c r="F20" i="5"/>
  <c r="G20" i="5"/>
  <c r="H20" i="5"/>
  <c r="I20" i="5"/>
  <c r="J20" i="5"/>
  <c r="K20" i="5"/>
  <c r="L20" i="5"/>
  <c r="M20" i="5"/>
  <c r="C21" i="5"/>
  <c r="D21" i="5"/>
  <c r="C22" i="5"/>
  <c r="D22" i="5"/>
  <c r="E22" i="5"/>
  <c r="F22" i="5"/>
  <c r="G22" i="5"/>
  <c r="H22" i="5"/>
  <c r="I22" i="5"/>
  <c r="J22" i="5"/>
  <c r="K22" i="5"/>
  <c r="L22" i="5"/>
  <c r="M22" i="5"/>
  <c r="C24" i="5"/>
  <c r="D24" i="5"/>
  <c r="E24" i="5"/>
  <c r="F24" i="5"/>
  <c r="G24" i="5"/>
  <c r="H24" i="5"/>
  <c r="I24" i="5"/>
  <c r="J24" i="5"/>
  <c r="K24" i="5"/>
  <c r="L24" i="5"/>
  <c r="M24" i="5"/>
  <c r="D26" i="5"/>
  <c r="E26" i="5"/>
  <c r="F26" i="5"/>
  <c r="G26" i="5"/>
  <c r="H26" i="5"/>
  <c r="I26" i="5"/>
  <c r="J26" i="5"/>
  <c r="K26" i="5"/>
  <c r="L26" i="5"/>
  <c r="M26" i="5"/>
  <c r="D27" i="5"/>
  <c r="D28" i="5"/>
  <c r="E28" i="5"/>
  <c r="F28" i="5"/>
  <c r="G28" i="5"/>
  <c r="H28" i="5"/>
  <c r="I28" i="5"/>
  <c r="J28" i="5"/>
  <c r="K28" i="5"/>
  <c r="L28" i="5"/>
  <c r="M28" i="5"/>
  <c r="D29" i="5"/>
  <c r="E29" i="5"/>
  <c r="F29" i="5"/>
  <c r="G29" i="5"/>
  <c r="H29" i="5"/>
  <c r="I29" i="5"/>
  <c r="J29" i="5"/>
  <c r="K29" i="5"/>
  <c r="L29" i="5"/>
  <c r="M29" i="5"/>
  <c r="C30" i="5"/>
  <c r="D30" i="5"/>
  <c r="E30" i="5"/>
  <c r="F30" i="5"/>
  <c r="G30" i="5"/>
  <c r="H30" i="5"/>
  <c r="I30" i="5"/>
  <c r="J30" i="5"/>
  <c r="K30" i="5"/>
  <c r="L30" i="5"/>
  <c r="M30" i="5"/>
  <c r="C31" i="5"/>
  <c r="D31" i="5"/>
  <c r="E31" i="5"/>
  <c r="F31" i="5"/>
  <c r="G31" i="5"/>
  <c r="H31" i="5"/>
  <c r="I31" i="5"/>
  <c r="J31" i="5"/>
  <c r="K31" i="5"/>
  <c r="L31" i="5"/>
  <c r="M31" i="5"/>
  <c r="C32" i="5"/>
  <c r="D32" i="5"/>
  <c r="D33" i="5" s="1"/>
  <c r="E32" i="5"/>
  <c r="E33" i="5" s="1"/>
  <c r="F32" i="5"/>
  <c r="F33" i="5" s="1"/>
  <c r="G32" i="5"/>
  <c r="G33" i="5" s="1"/>
  <c r="H32" i="5"/>
  <c r="H33" i="5" s="1"/>
  <c r="I32" i="5"/>
  <c r="I33" i="5" s="1"/>
  <c r="J32" i="5"/>
  <c r="J33" i="5" s="1"/>
  <c r="K32" i="5"/>
  <c r="K33" i="5" s="1"/>
  <c r="L32" i="5"/>
  <c r="L33" i="5" s="1"/>
  <c r="M32" i="5"/>
  <c r="M33" i="5" s="1"/>
  <c r="C34" i="5"/>
  <c r="D34" i="5"/>
  <c r="E34" i="5"/>
  <c r="F34" i="5"/>
  <c r="G34" i="5"/>
  <c r="H34" i="5"/>
  <c r="I34" i="5"/>
  <c r="J34" i="5"/>
  <c r="K34" i="5"/>
  <c r="L34" i="5"/>
  <c r="M34" i="5"/>
  <c r="C35" i="5"/>
  <c r="D35" i="5"/>
  <c r="E35" i="5"/>
  <c r="F35" i="5"/>
  <c r="G35" i="5"/>
  <c r="H35" i="5"/>
  <c r="I35" i="5"/>
  <c r="J35" i="5"/>
  <c r="K35" i="5"/>
  <c r="L35" i="5"/>
  <c r="M35" i="5"/>
  <c r="C36" i="5"/>
  <c r="D36" i="5"/>
  <c r="C38" i="5"/>
  <c r="D38" i="5"/>
  <c r="E38" i="5"/>
  <c r="F38" i="5"/>
  <c r="G38" i="5"/>
  <c r="H38" i="5"/>
  <c r="I38" i="5"/>
  <c r="J38" i="5"/>
  <c r="K38" i="5"/>
  <c r="L38" i="5"/>
  <c r="M38" i="5"/>
  <c r="C43" i="5"/>
  <c r="D43" i="5"/>
  <c r="C44" i="5"/>
  <c r="D44" i="5"/>
  <c r="E44" i="5"/>
  <c r="F44" i="5"/>
  <c r="G44" i="5"/>
  <c r="H44" i="5"/>
  <c r="I44" i="5"/>
  <c r="C46" i="5"/>
  <c r="D46" i="5"/>
  <c r="E46" i="5"/>
  <c r="F46" i="5"/>
  <c r="G46" i="5"/>
  <c r="H46" i="5"/>
  <c r="I46" i="5"/>
  <c r="J46" i="5"/>
  <c r="K46" i="5"/>
  <c r="L46" i="5"/>
  <c r="M46" i="5"/>
  <c r="C48" i="5"/>
  <c r="D48" i="5"/>
  <c r="E48" i="5"/>
  <c r="F48" i="5"/>
  <c r="G48" i="5"/>
  <c r="H48" i="5"/>
  <c r="I48" i="5"/>
  <c r="J48" i="5"/>
  <c r="K48" i="5"/>
  <c r="L48" i="5"/>
  <c r="M48" i="5"/>
  <c r="C52" i="5"/>
  <c r="D52" i="5"/>
  <c r="E52" i="5"/>
  <c r="F52" i="5"/>
  <c r="G52" i="5"/>
  <c r="H52" i="5"/>
  <c r="I52" i="5"/>
  <c r="J52" i="5"/>
  <c r="K52" i="5"/>
  <c r="L52" i="5"/>
  <c r="M52" i="5"/>
  <c r="C53" i="5"/>
  <c r="D53" i="5"/>
  <c r="E53" i="5"/>
  <c r="F53" i="5"/>
  <c r="G53" i="5"/>
  <c r="H53" i="5"/>
  <c r="I53" i="5"/>
  <c r="J53" i="5"/>
  <c r="K53" i="5"/>
  <c r="L53" i="5"/>
  <c r="M53" i="5"/>
  <c r="D56" i="5"/>
  <c r="E56" i="5"/>
  <c r="F56" i="5"/>
  <c r="G56" i="5"/>
  <c r="H56" i="5"/>
  <c r="I56" i="5"/>
  <c r="J56" i="5"/>
  <c r="K56" i="5"/>
  <c r="L56" i="5"/>
  <c r="M56" i="5"/>
  <c r="D57" i="5"/>
  <c r="E57" i="5"/>
  <c r="F57" i="5"/>
  <c r="G57" i="5"/>
  <c r="H57" i="5"/>
  <c r="I57" i="5"/>
  <c r="J57" i="5"/>
  <c r="K57" i="5"/>
  <c r="L57" i="5"/>
  <c r="M57" i="5"/>
  <c r="D58" i="5"/>
  <c r="E58" i="5"/>
  <c r="M1" i="5"/>
  <c r="D1" i="5"/>
  <c r="E1" i="5"/>
  <c r="F1" i="5"/>
  <c r="G1" i="5"/>
  <c r="H1" i="5"/>
  <c r="I1" i="5"/>
  <c r="J1" i="5"/>
  <c r="K1" i="5"/>
  <c r="L1" i="5"/>
  <c r="C1" i="5"/>
  <c r="D43" i="4"/>
  <c r="C43" i="4"/>
  <c r="C29" i="4"/>
  <c r="C28" i="4"/>
  <c r="C30" i="4"/>
  <c r="C31" i="4"/>
  <c r="C32" i="4"/>
  <c r="D32" i="4"/>
  <c r="E32" i="4"/>
  <c r="F32" i="4"/>
  <c r="G32" i="4"/>
  <c r="H32" i="4"/>
  <c r="I32" i="4"/>
  <c r="J32" i="4"/>
  <c r="K32" i="4"/>
  <c r="L32" i="4"/>
  <c r="M32" i="4"/>
  <c r="C34" i="4"/>
  <c r="D34" i="4"/>
  <c r="E34" i="4"/>
  <c r="F34" i="4"/>
  <c r="G34" i="4"/>
  <c r="H34" i="4"/>
  <c r="I34" i="4"/>
  <c r="J34" i="4"/>
  <c r="K34" i="4"/>
  <c r="L34" i="4"/>
  <c r="M34" i="4"/>
  <c r="C35" i="4"/>
  <c r="D35" i="4"/>
  <c r="E35" i="4"/>
  <c r="F35" i="4"/>
  <c r="G35" i="4"/>
  <c r="H35" i="4"/>
  <c r="I35" i="4"/>
  <c r="J35" i="4"/>
  <c r="K35" i="4"/>
  <c r="L35" i="4"/>
  <c r="M35" i="4"/>
  <c r="C36" i="4"/>
  <c r="D36" i="4"/>
  <c r="C38" i="4"/>
  <c r="D38" i="4"/>
  <c r="E38" i="4"/>
  <c r="F38" i="4"/>
  <c r="G38" i="4"/>
  <c r="H38" i="4"/>
  <c r="I38" i="4"/>
  <c r="J38" i="4"/>
  <c r="K38" i="4"/>
  <c r="L38" i="4"/>
  <c r="M38" i="4"/>
  <c r="C44" i="4"/>
  <c r="D44" i="4"/>
  <c r="E44" i="4"/>
  <c r="F44" i="4"/>
  <c r="G44" i="4"/>
  <c r="H44" i="4"/>
  <c r="I44" i="4"/>
  <c r="C46" i="4"/>
  <c r="D46" i="4"/>
  <c r="E46" i="4"/>
  <c r="F46" i="4"/>
  <c r="G46" i="4"/>
  <c r="H46" i="4"/>
  <c r="I46" i="4"/>
  <c r="J46" i="4"/>
  <c r="K46" i="4"/>
  <c r="L46" i="4"/>
  <c r="M46" i="4"/>
  <c r="C48" i="4"/>
  <c r="D48" i="4"/>
  <c r="E48" i="4"/>
  <c r="F48" i="4"/>
  <c r="G48" i="4"/>
  <c r="H48" i="4"/>
  <c r="I48" i="4"/>
  <c r="J48" i="4"/>
  <c r="K48" i="4"/>
  <c r="L48" i="4"/>
  <c r="M48" i="4"/>
  <c r="C2" i="4"/>
  <c r="D2" i="4"/>
  <c r="E2" i="4"/>
  <c r="F2" i="4"/>
  <c r="G2" i="4"/>
  <c r="H2" i="4"/>
  <c r="I2" i="4"/>
  <c r="J2" i="4"/>
  <c r="K2" i="4"/>
  <c r="L2" i="4"/>
  <c r="M2" i="4"/>
  <c r="C3" i="4"/>
  <c r="D3" i="4"/>
  <c r="E3" i="4"/>
  <c r="F3" i="4"/>
  <c r="G3" i="4"/>
  <c r="H3" i="4"/>
  <c r="I3" i="4"/>
  <c r="J3" i="4"/>
  <c r="K3" i="4"/>
  <c r="L3" i="4"/>
  <c r="M3" i="4"/>
  <c r="C4" i="4"/>
  <c r="D4" i="4"/>
  <c r="E4" i="4"/>
  <c r="F4" i="4"/>
  <c r="G4" i="4"/>
  <c r="H4" i="4"/>
  <c r="I4" i="4"/>
  <c r="J4" i="4"/>
  <c r="K4" i="4"/>
  <c r="L4" i="4"/>
  <c r="M4" i="4"/>
  <c r="C5" i="4"/>
  <c r="D5" i="4"/>
  <c r="E5" i="4"/>
  <c r="F5" i="4"/>
  <c r="G5" i="4"/>
  <c r="H5" i="4"/>
  <c r="I5" i="4"/>
  <c r="J5" i="4"/>
  <c r="K5" i="4"/>
  <c r="L5" i="4"/>
  <c r="M5" i="4"/>
  <c r="C6" i="4"/>
  <c r="D6" i="4"/>
  <c r="E6" i="4"/>
  <c r="F6" i="4"/>
  <c r="G6" i="4"/>
  <c r="H6" i="4"/>
  <c r="I6" i="4"/>
  <c r="J6" i="4"/>
  <c r="K6" i="4"/>
  <c r="L6" i="4"/>
  <c r="M6" i="4"/>
  <c r="C7" i="4"/>
  <c r="C9" i="4" s="1"/>
  <c r="D7" i="4"/>
  <c r="D9" i="4" s="1"/>
  <c r="E7" i="4"/>
  <c r="E9" i="4" s="1"/>
  <c r="E40" i="4" s="1"/>
  <c r="F7" i="4"/>
  <c r="F9" i="4" s="1"/>
  <c r="G7" i="4"/>
  <c r="G9" i="4" s="1"/>
  <c r="H7" i="4"/>
  <c r="H9" i="4" s="1"/>
  <c r="I7" i="4"/>
  <c r="I9" i="4" s="1"/>
  <c r="J7" i="4"/>
  <c r="J9" i="4" s="1"/>
  <c r="K7" i="4"/>
  <c r="K9" i="4" s="1"/>
  <c r="L7" i="4"/>
  <c r="L9" i="4" s="1"/>
  <c r="M7" i="4"/>
  <c r="M9" i="4" s="1"/>
  <c r="C8" i="4"/>
  <c r="D8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D12" i="4"/>
  <c r="E12" i="4"/>
  <c r="F12" i="4"/>
  <c r="G12" i="4"/>
  <c r="H12" i="4"/>
  <c r="I12" i="4"/>
  <c r="J12" i="4"/>
  <c r="K12" i="4"/>
  <c r="L12" i="4"/>
  <c r="M12" i="4"/>
  <c r="C13" i="4"/>
  <c r="D13" i="4"/>
  <c r="E13" i="4"/>
  <c r="F13" i="4"/>
  <c r="G13" i="4"/>
  <c r="H13" i="4"/>
  <c r="I13" i="4"/>
  <c r="J13" i="4"/>
  <c r="K13" i="4"/>
  <c r="L13" i="4"/>
  <c r="M13" i="4"/>
  <c r="C14" i="4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D16" i="4"/>
  <c r="E16" i="4"/>
  <c r="F16" i="4"/>
  <c r="G16" i="4"/>
  <c r="H16" i="4"/>
  <c r="I16" i="4"/>
  <c r="J16" i="4"/>
  <c r="K16" i="4"/>
  <c r="L16" i="4"/>
  <c r="M16" i="4"/>
  <c r="C17" i="4"/>
  <c r="D17" i="4"/>
  <c r="E17" i="4"/>
  <c r="F17" i="4"/>
  <c r="G17" i="4"/>
  <c r="H17" i="4"/>
  <c r="I17" i="4"/>
  <c r="J17" i="4"/>
  <c r="K17" i="4"/>
  <c r="L17" i="4"/>
  <c r="M17" i="4"/>
  <c r="C19" i="4"/>
  <c r="D19" i="4"/>
  <c r="E19" i="4"/>
  <c r="F19" i="4"/>
  <c r="G19" i="4"/>
  <c r="H19" i="4"/>
  <c r="I19" i="4"/>
  <c r="J19" i="4"/>
  <c r="K19" i="4"/>
  <c r="L19" i="4"/>
  <c r="M19" i="4"/>
  <c r="C20" i="4"/>
  <c r="D20" i="4"/>
  <c r="E20" i="4"/>
  <c r="F20" i="4"/>
  <c r="G20" i="4"/>
  <c r="H20" i="4"/>
  <c r="I20" i="4"/>
  <c r="J20" i="4"/>
  <c r="K20" i="4"/>
  <c r="L20" i="4"/>
  <c r="M20" i="4"/>
  <c r="C21" i="4"/>
  <c r="D21" i="4"/>
  <c r="C22" i="4"/>
  <c r="D22" i="4"/>
  <c r="E22" i="4"/>
  <c r="F22" i="4"/>
  <c r="G22" i="4"/>
  <c r="H22" i="4"/>
  <c r="I22" i="4"/>
  <c r="J22" i="4"/>
  <c r="K22" i="4"/>
  <c r="L22" i="4"/>
  <c r="M22" i="4"/>
  <c r="C24" i="4"/>
  <c r="D24" i="4"/>
  <c r="E24" i="4"/>
  <c r="F24" i="4"/>
  <c r="G24" i="4"/>
  <c r="H24" i="4"/>
  <c r="I24" i="4"/>
  <c r="J24" i="4"/>
  <c r="K24" i="4"/>
  <c r="L24" i="4"/>
  <c r="M24" i="4"/>
  <c r="D26" i="4"/>
  <c r="E26" i="4"/>
  <c r="F26" i="4"/>
  <c r="G26" i="4"/>
  <c r="H26" i="4"/>
  <c r="I26" i="4"/>
  <c r="J26" i="4"/>
  <c r="K26" i="4"/>
  <c r="L26" i="4"/>
  <c r="M26" i="4"/>
  <c r="M1" i="4"/>
  <c r="D1" i="4"/>
  <c r="E1" i="4"/>
  <c r="F1" i="4"/>
  <c r="G1" i="4"/>
  <c r="H1" i="4"/>
  <c r="I1" i="4"/>
  <c r="J1" i="4"/>
  <c r="K1" i="4"/>
  <c r="L1" i="4"/>
  <c r="C1" i="4"/>
  <c r="M113" i="3"/>
  <c r="L105" i="3"/>
  <c r="K97" i="3"/>
  <c r="J89" i="3"/>
  <c r="I81" i="3"/>
  <c r="H73" i="3"/>
  <c r="G65" i="3"/>
  <c r="F57" i="3"/>
  <c r="E49" i="3"/>
  <c r="D41" i="3"/>
  <c r="C33" i="3"/>
  <c r="D19" i="3"/>
  <c r="C11" i="3"/>
  <c r="M112" i="3"/>
  <c r="L104" i="3"/>
  <c r="L106" i="3" s="1"/>
  <c r="K96" i="3"/>
  <c r="L96" i="3" s="1"/>
  <c r="J88" i="3"/>
  <c r="I80" i="3"/>
  <c r="J80" i="3" s="1"/>
  <c r="H72" i="3"/>
  <c r="I72" i="3" s="1"/>
  <c r="G64" i="3"/>
  <c r="F56" i="3"/>
  <c r="G56" i="3" s="1"/>
  <c r="E48" i="3"/>
  <c r="D40" i="3"/>
  <c r="E40" i="3" s="1"/>
  <c r="C32" i="3"/>
  <c r="D32" i="3" s="1"/>
  <c r="D18" i="3"/>
  <c r="E18" i="3" s="1"/>
  <c r="C10" i="3"/>
  <c r="D10" i="3" s="1"/>
  <c r="E40" i="5" l="1"/>
  <c r="M25" i="6"/>
  <c r="M37" i="6"/>
  <c r="L25" i="6"/>
  <c r="L37" i="6"/>
  <c r="K37" i="6"/>
  <c r="J37" i="6"/>
  <c r="C37" i="6"/>
  <c r="C40" i="6"/>
  <c r="I25" i="6"/>
  <c r="I37" i="6"/>
  <c r="M21" i="6"/>
  <c r="H25" i="6"/>
  <c r="H37" i="6"/>
  <c r="L21" i="6"/>
  <c r="G37" i="6"/>
  <c r="D37" i="6"/>
  <c r="F37" i="6"/>
  <c r="E37" i="6"/>
  <c r="E25" i="6"/>
  <c r="D37" i="4"/>
  <c r="C37" i="4"/>
  <c r="F37" i="4"/>
  <c r="C37" i="5"/>
  <c r="M37" i="4"/>
  <c r="J37" i="5"/>
  <c r="C29" i="6"/>
  <c r="D18" i="4"/>
  <c r="D23" i="4" s="1"/>
  <c r="D25" i="4" s="1"/>
  <c r="I37" i="5"/>
  <c r="G37" i="5"/>
  <c r="I37" i="4"/>
  <c r="F37" i="5"/>
  <c r="K21" i="6"/>
  <c r="K37" i="5"/>
  <c r="E37" i="4"/>
  <c r="L37" i="4"/>
  <c r="H37" i="5"/>
  <c r="D18" i="6"/>
  <c r="D23" i="6" s="1"/>
  <c r="D25" i="6" s="1"/>
  <c r="J37" i="4"/>
  <c r="F18" i="4"/>
  <c r="F23" i="4" s="1"/>
  <c r="F25" i="4" s="1"/>
  <c r="C40" i="4"/>
  <c r="C40" i="5" s="1"/>
  <c r="H37" i="4"/>
  <c r="M37" i="5"/>
  <c r="E37" i="5"/>
  <c r="J21" i="6"/>
  <c r="K37" i="4"/>
  <c r="G37" i="4"/>
  <c r="L37" i="5"/>
  <c r="D37" i="5"/>
  <c r="I21" i="6"/>
  <c r="G40" i="6"/>
  <c r="I40" i="4"/>
  <c r="C18" i="6"/>
  <c r="C23" i="6" s="1"/>
  <c r="C25" i="6" s="1"/>
  <c r="H18" i="4"/>
  <c r="H23" i="4" s="1"/>
  <c r="H25" i="4" s="1"/>
  <c r="D40" i="4"/>
  <c r="D40" i="5" s="1"/>
  <c r="E18" i="4"/>
  <c r="E23" i="4" s="1"/>
  <c r="E25" i="4" s="1"/>
  <c r="H21" i="6"/>
  <c r="K18" i="4"/>
  <c r="K23" i="4" s="1"/>
  <c r="K25" i="4" s="1"/>
  <c r="F40" i="4"/>
  <c r="F40" i="5" s="1"/>
  <c r="J18" i="4"/>
  <c r="J23" i="4" s="1"/>
  <c r="J25" i="4" s="1"/>
  <c r="I18" i="4"/>
  <c r="I23" i="4" s="1"/>
  <c r="I25" i="4" s="1"/>
  <c r="G18" i="4"/>
  <c r="G23" i="4" s="1"/>
  <c r="G25" i="4" s="1"/>
  <c r="M18" i="6"/>
  <c r="M23" i="6" s="1"/>
  <c r="C18" i="4"/>
  <c r="C23" i="4" s="1"/>
  <c r="C25" i="4" s="1"/>
  <c r="K18" i="6"/>
  <c r="K23" i="6" s="1"/>
  <c r="K25" i="6" s="1"/>
  <c r="J18" i="6"/>
  <c r="J23" i="6" s="1"/>
  <c r="J25" i="6" s="1"/>
  <c r="I18" i="6"/>
  <c r="I23" i="6" s="1"/>
  <c r="H18" i="6"/>
  <c r="H23" i="6" s="1"/>
  <c r="M18" i="4"/>
  <c r="M23" i="4" s="1"/>
  <c r="M25" i="4" s="1"/>
  <c r="F18" i="6"/>
  <c r="F23" i="6" s="1"/>
  <c r="F25" i="6" s="1"/>
  <c r="G21" i="6"/>
  <c r="F21" i="6"/>
  <c r="L18" i="6"/>
  <c r="L23" i="6" s="1"/>
  <c r="G18" i="6"/>
  <c r="G23" i="6" s="1"/>
  <c r="G25" i="6" s="1"/>
  <c r="L18" i="4"/>
  <c r="L23" i="4" s="1"/>
  <c r="L25" i="4" s="1"/>
  <c r="E18" i="6"/>
  <c r="E23" i="6" s="1"/>
  <c r="C33" i="5"/>
  <c r="J40" i="4"/>
  <c r="C34" i="3"/>
  <c r="C35" i="3" s="1"/>
  <c r="C36" i="3" s="1"/>
  <c r="C37" i="3" s="1"/>
  <c r="D33" i="3" s="1"/>
  <c r="C12" i="3"/>
  <c r="C13" i="3" s="1"/>
  <c r="C14" i="3" s="1"/>
  <c r="J82" i="3"/>
  <c r="J83" i="3" s="1"/>
  <c r="K80" i="3"/>
  <c r="E20" i="3"/>
  <c r="E21" i="3"/>
  <c r="F18" i="3"/>
  <c r="E32" i="3"/>
  <c r="D34" i="3"/>
  <c r="D35" i="3" s="1"/>
  <c r="G58" i="3"/>
  <c r="G59" i="3" s="1"/>
  <c r="H56" i="3"/>
  <c r="D12" i="3"/>
  <c r="D13" i="3" s="1"/>
  <c r="E10" i="3"/>
  <c r="F40" i="3"/>
  <c r="E42" i="3"/>
  <c r="E43" i="3"/>
  <c r="I74" i="3"/>
  <c r="I75" i="3"/>
  <c r="J72" i="3"/>
  <c r="J91" i="3"/>
  <c r="J92" i="3" s="1"/>
  <c r="J93" i="3" s="1"/>
  <c r="K89" i="3" s="1"/>
  <c r="M96" i="3"/>
  <c r="L98" i="3"/>
  <c r="L99" i="3"/>
  <c r="F58" i="3"/>
  <c r="F59" i="3" s="1"/>
  <c r="F60" i="3" s="1"/>
  <c r="F61" i="3" s="1"/>
  <c r="G57" i="3" s="1"/>
  <c r="F48" i="3"/>
  <c r="K88" i="3"/>
  <c r="D20" i="3"/>
  <c r="D21" i="3" s="1"/>
  <c r="D22" i="3" s="1"/>
  <c r="D23" i="3" s="1"/>
  <c r="E19" i="3" s="1"/>
  <c r="E50" i="3"/>
  <c r="E51" i="3" s="1"/>
  <c r="E52" i="3" s="1"/>
  <c r="E53" i="3" s="1"/>
  <c r="F49" i="3" s="1"/>
  <c r="J90" i="3"/>
  <c r="K98" i="3"/>
  <c r="K99" i="3" s="1"/>
  <c r="K100" i="3" s="1"/>
  <c r="K101" i="3" s="1"/>
  <c r="L97" i="3" s="1"/>
  <c r="L107" i="3"/>
  <c r="L108" i="3" s="1"/>
  <c r="L109" i="3" s="1"/>
  <c r="M105" i="3" s="1"/>
  <c r="D42" i="3"/>
  <c r="D43" i="3" s="1"/>
  <c r="D44" i="3" s="1"/>
  <c r="D45" i="3" s="1"/>
  <c r="E41" i="3" s="1"/>
  <c r="H64" i="3"/>
  <c r="H74" i="3"/>
  <c r="H75" i="3"/>
  <c r="H76" i="3" s="1"/>
  <c r="H77" i="3" s="1"/>
  <c r="I73" i="3" s="1"/>
  <c r="M104" i="3"/>
  <c r="I82" i="3"/>
  <c r="I83" i="3" s="1"/>
  <c r="I84" i="3" s="1"/>
  <c r="I85" i="3" s="1"/>
  <c r="J81" i="3" s="1"/>
  <c r="G66" i="3"/>
  <c r="G67" i="3" s="1"/>
  <c r="G68" i="3" s="1"/>
  <c r="G69" i="3" s="1"/>
  <c r="H65" i="3" s="1"/>
  <c r="M114" i="3"/>
  <c r="M115" i="3" s="1"/>
  <c r="M116" i="3" s="1"/>
  <c r="M117" i="3" s="1"/>
  <c r="D87" i="8" l="1"/>
  <c r="K40" i="6"/>
  <c r="L40" i="6"/>
  <c r="J40" i="6"/>
  <c r="C27" i="4"/>
  <c r="U10" i="4" s="1"/>
  <c r="C26" i="4"/>
  <c r="R10" i="4" s="1"/>
  <c r="F40" i="6"/>
  <c r="E40" i="6"/>
  <c r="H40" i="6"/>
  <c r="M40" i="6"/>
  <c r="I40" i="5"/>
  <c r="J40" i="5"/>
  <c r="I40" i="6"/>
  <c r="L40" i="4"/>
  <c r="L40" i="5" s="1"/>
  <c r="K40" i="4"/>
  <c r="M40" i="4"/>
  <c r="M40" i="5" s="1"/>
  <c r="C15" i="3"/>
  <c r="D11" i="3" s="1"/>
  <c r="D14" i="3" s="1"/>
  <c r="C25" i="3"/>
  <c r="C119" i="3"/>
  <c r="E44" i="3"/>
  <c r="E45" i="3" s="1"/>
  <c r="F41" i="3" s="1"/>
  <c r="J84" i="3"/>
  <c r="J85" i="3"/>
  <c r="K81" i="3" s="1"/>
  <c r="E34" i="3"/>
  <c r="E35" i="3" s="1"/>
  <c r="F32" i="3"/>
  <c r="M98" i="3"/>
  <c r="M99" i="3"/>
  <c r="I64" i="3"/>
  <c r="H66" i="3"/>
  <c r="H67" i="3" s="1"/>
  <c r="H68" i="3" s="1"/>
  <c r="H69" i="3" s="1"/>
  <c r="I65" i="3" s="1"/>
  <c r="L100" i="3"/>
  <c r="L101" i="3" s="1"/>
  <c r="M97" i="3" s="1"/>
  <c r="L80" i="3"/>
  <c r="K82" i="3"/>
  <c r="K83" i="3"/>
  <c r="E22" i="3"/>
  <c r="E23" i="3" s="1"/>
  <c r="F19" i="3" s="1"/>
  <c r="K72" i="3"/>
  <c r="J74" i="3"/>
  <c r="J75" i="3" s="1"/>
  <c r="G60" i="3"/>
  <c r="G61" i="3" s="1"/>
  <c r="H57" i="3" s="1"/>
  <c r="G18" i="3"/>
  <c r="F20" i="3"/>
  <c r="F21" i="3"/>
  <c r="F42" i="3"/>
  <c r="F43" i="3"/>
  <c r="G40" i="3"/>
  <c r="F10" i="3"/>
  <c r="E12" i="3"/>
  <c r="E13" i="3" s="1"/>
  <c r="I76" i="3"/>
  <c r="I77" i="3" s="1"/>
  <c r="J73" i="3" s="1"/>
  <c r="L88" i="3"/>
  <c r="K90" i="3"/>
  <c r="K91" i="3" s="1"/>
  <c r="K92" i="3" s="1"/>
  <c r="K93" i="3" s="1"/>
  <c r="L89" i="3" s="1"/>
  <c r="M106" i="3"/>
  <c r="M107" i="3" s="1"/>
  <c r="M108" i="3" s="1"/>
  <c r="M109" i="3" s="1"/>
  <c r="G48" i="3"/>
  <c r="F50" i="3"/>
  <c r="F51" i="3" s="1"/>
  <c r="F52" i="3" s="1"/>
  <c r="F53" i="3" s="1"/>
  <c r="G49" i="3" s="1"/>
  <c r="I56" i="3"/>
  <c r="H58" i="3"/>
  <c r="H59" i="3" s="1"/>
  <c r="D36" i="3"/>
  <c r="D119" i="3" s="1"/>
  <c r="K40" i="5" l="1"/>
  <c r="C122" i="3"/>
  <c r="C39" i="1" s="1"/>
  <c r="D15" i="3"/>
  <c r="E11" i="3" s="1"/>
  <c r="D25" i="3"/>
  <c r="D122" i="3" s="1"/>
  <c r="D39" i="1" s="1"/>
  <c r="E14" i="3"/>
  <c r="J76" i="3"/>
  <c r="J77" i="3" s="1"/>
  <c r="K73" i="3" s="1"/>
  <c r="H60" i="3"/>
  <c r="H61" i="3" s="1"/>
  <c r="I57" i="3" s="1"/>
  <c r="F44" i="3"/>
  <c r="F45" i="3" s="1"/>
  <c r="G41" i="3" s="1"/>
  <c r="G32" i="3"/>
  <c r="F34" i="3"/>
  <c r="F35" i="3"/>
  <c r="D37" i="3"/>
  <c r="E33" i="3" s="1"/>
  <c r="M80" i="3"/>
  <c r="L82" i="3"/>
  <c r="L83" i="3"/>
  <c r="M88" i="3"/>
  <c r="L90" i="3"/>
  <c r="L91" i="3"/>
  <c r="L92" i="3" s="1"/>
  <c r="L93" i="3" s="1"/>
  <c r="M89" i="3" s="1"/>
  <c r="L72" i="3"/>
  <c r="K74" i="3"/>
  <c r="K75" i="3" s="1"/>
  <c r="F22" i="3"/>
  <c r="F23" i="3" s="1"/>
  <c r="G19" i="3" s="1"/>
  <c r="H40" i="3"/>
  <c r="G42" i="3"/>
  <c r="G43" i="3" s="1"/>
  <c r="H48" i="3"/>
  <c r="G50" i="3"/>
  <c r="G51" i="3" s="1"/>
  <c r="G52" i="3" s="1"/>
  <c r="G53" i="3" s="1"/>
  <c r="H49" i="3" s="1"/>
  <c r="K84" i="3"/>
  <c r="K85" i="3" s="1"/>
  <c r="L81" i="3" s="1"/>
  <c r="G10" i="3"/>
  <c r="F12" i="3"/>
  <c r="F13" i="3"/>
  <c r="J56" i="3"/>
  <c r="I58" i="3"/>
  <c r="I59" i="3"/>
  <c r="M100" i="3"/>
  <c r="M101" i="3" s="1"/>
  <c r="H18" i="3"/>
  <c r="G20" i="3"/>
  <c r="G21" i="3" s="1"/>
  <c r="J64" i="3"/>
  <c r="I66" i="3"/>
  <c r="I67" i="3"/>
  <c r="I68" i="3" s="1"/>
  <c r="I69" i="3" s="1"/>
  <c r="J65" i="3" s="1"/>
  <c r="D39" i="6" l="1"/>
  <c r="D42" i="6" s="1"/>
  <c r="D39" i="4"/>
  <c r="D39" i="5"/>
  <c r="C39" i="4"/>
  <c r="C39" i="6"/>
  <c r="C42" i="6" s="1"/>
  <c r="C45" i="6" s="1"/>
  <c r="C39" i="5"/>
  <c r="E15" i="3"/>
  <c r="F11" i="3" s="1"/>
  <c r="F14" i="3" s="1"/>
  <c r="E25" i="3"/>
  <c r="G44" i="3"/>
  <c r="G45" i="3" s="1"/>
  <c r="H41" i="3" s="1"/>
  <c r="G22" i="3"/>
  <c r="G23" i="3" s="1"/>
  <c r="H19" i="3" s="1"/>
  <c r="K76" i="3"/>
  <c r="K77" i="3"/>
  <c r="L73" i="3" s="1"/>
  <c r="E36" i="3"/>
  <c r="E119" i="3" s="1"/>
  <c r="E37" i="3"/>
  <c r="F33" i="3" s="1"/>
  <c r="K64" i="3"/>
  <c r="J66" i="3"/>
  <c r="J67" i="3" s="1"/>
  <c r="J68" i="3" s="1"/>
  <c r="J69" i="3" s="1"/>
  <c r="K65" i="3" s="1"/>
  <c r="H32" i="3"/>
  <c r="G34" i="3"/>
  <c r="G35" i="3" s="1"/>
  <c r="H20" i="3"/>
  <c r="H21" i="3" s="1"/>
  <c r="I18" i="3"/>
  <c r="K56" i="3"/>
  <c r="J58" i="3"/>
  <c r="J59" i="3" s="1"/>
  <c r="H10" i="3"/>
  <c r="G12" i="3"/>
  <c r="G13" i="3" s="1"/>
  <c r="M90" i="3"/>
  <c r="M91" i="3"/>
  <c r="M92" i="3" s="1"/>
  <c r="M93" i="3" s="1"/>
  <c r="I40" i="3"/>
  <c r="H42" i="3"/>
  <c r="H43" i="3"/>
  <c r="M72" i="3"/>
  <c r="L74" i="3"/>
  <c r="L75" i="3" s="1"/>
  <c r="I48" i="3"/>
  <c r="H50" i="3"/>
  <c r="H51" i="3" s="1"/>
  <c r="H52" i="3" s="1"/>
  <c r="H53" i="3" s="1"/>
  <c r="I49" i="3" s="1"/>
  <c r="I60" i="3"/>
  <c r="I61" i="3" s="1"/>
  <c r="J57" i="3" s="1"/>
  <c r="L84" i="3"/>
  <c r="L85" i="3" s="1"/>
  <c r="M81" i="3" s="1"/>
  <c r="M82" i="3"/>
  <c r="M83" i="3" s="1"/>
  <c r="D45" i="6" l="1"/>
  <c r="D47" i="6" s="1"/>
  <c r="D49" i="6" s="1"/>
  <c r="H44" i="3"/>
  <c r="H45" i="3" s="1"/>
  <c r="I41" i="3" s="1"/>
  <c r="E122" i="3"/>
  <c r="E39" i="1" s="1"/>
  <c r="F15" i="3"/>
  <c r="G11" i="3" s="1"/>
  <c r="F25" i="3"/>
  <c r="G14" i="3"/>
  <c r="I32" i="3"/>
  <c r="H35" i="3"/>
  <c r="H34" i="3"/>
  <c r="M84" i="3"/>
  <c r="M85" i="3" s="1"/>
  <c r="H12" i="3"/>
  <c r="I10" i="3"/>
  <c r="H13" i="3"/>
  <c r="F36" i="3"/>
  <c r="F119" i="3" s="1"/>
  <c r="F37" i="3"/>
  <c r="G33" i="3" s="1"/>
  <c r="L56" i="3"/>
  <c r="K59" i="3"/>
  <c r="K58" i="3"/>
  <c r="M75" i="3"/>
  <c r="M74" i="3"/>
  <c r="L76" i="3"/>
  <c r="L77" i="3" s="1"/>
  <c r="M73" i="3" s="1"/>
  <c r="I43" i="3"/>
  <c r="I44" i="3" s="1"/>
  <c r="I45" i="3" s="1"/>
  <c r="J41" i="3" s="1"/>
  <c r="J40" i="3"/>
  <c r="I42" i="3"/>
  <c r="L64" i="3"/>
  <c r="K66" i="3"/>
  <c r="K67" i="3"/>
  <c r="K68" i="3" s="1"/>
  <c r="K69" i="3" s="1"/>
  <c r="L65" i="3" s="1"/>
  <c r="J60" i="3"/>
  <c r="J61" i="3" s="1"/>
  <c r="K57" i="3" s="1"/>
  <c r="H22" i="3"/>
  <c r="H23" i="3" s="1"/>
  <c r="I19" i="3" s="1"/>
  <c r="J48" i="3"/>
  <c r="I50" i="3"/>
  <c r="I51" i="3" s="1"/>
  <c r="I52" i="3" s="1"/>
  <c r="I53" i="3" s="1"/>
  <c r="J49" i="3" s="1"/>
  <c r="I20" i="3"/>
  <c r="I21" i="3" s="1"/>
  <c r="J18" i="3"/>
  <c r="C47" i="6" l="1"/>
  <c r="E39" i="6"/>
  <c r="E42" i="6" s="1"/>
  <c r="E45" i="6" s="1"/>
  <c r="E47" i="6" s="1"/>
  <c r="E49" i="6" s="1"/>
  <c r="E39" i="4"/>
  <c r="E39" i="5"/>
  <c r="F122" i="3"/>
  <c r="F39" i="1" s="1"/>
  <c r="G15" i="3"/>
  <c r="H11" i="3" s="1"/>
  <c r="H14" i="3" s="1"/>
  <c r="G25" i="3"/>
  <c r="K60" i="3"/>
  <c r="K61" i="3" s="1"/>
  <c r="L57" i="3" s="1"/>
  <c r="I22" i="3"/>
  <c r="I23" i="3" s="1"/>
  <c r="J19" i="3" s="1"/>
  <c r="M76" i="3"/>
  <c r="M77" i="3"/>
  <c r="G36" i="3"/>
  <c r="G119" i="3" s="1"/>
  <c r="I12" i="3"/>
  <c r="I13" i="3"/>
  <c r="J10" i="3"/>
  <c r="M64" i="3"/>
  <c r="L66" i="3"/>
  <c r="L67" i="3"/>
  <c r="L68" i="3" s="1"/>
  <c r="L69" i="3" s="1"/>
  <c r="M65" i="3" s="1"/>
  <c r="J43" i="3"/>
  <c r="J44" i="3" s="1"/>
  <c r="J45" i="3" s="1"/>
  <c r="K41" i="3" s="1"/>
  <c r="K40" i="3"/>
  <c r="J42" i="3"/>
  <c r="I35" i="3"/>
  <c r="J32" i="3"/>
  <c r="I34" i="3"/>
  <c r="J20" i="3"/>
  <c r="K18" i="3"/>
  <c r="J21" i="3"/>
  <c r="K48" i="3"/>
  <c r="J50" i="3"/>
  <c r="J51" i="3"/>
  <c r="J52" i="3" s="1"/>
  <c r="J53" i="3" s="1"/>
  <c r="K49" i="3" s="1"/>
  <c r="M56" i="3"/>
  <c r="L59" i="3"/>
  <c r="L58" i="3"/>
  <c r="F39" i="5" l="1"/>
  <c r="F39" i="6"/>
  <c r="F42" i="6" s="1"/>
  <c r="F45" i="6" s="1"/>
  <c r="F47" i="6" s="1"/>
  <c r="F49" i="6" s="1"/>
  <c r="F39" i="4"/>
  <c r="L60" i="3"/>
  <c r="L61" i="3" s="1"/>
  <c r="M57" i="3" s="1"/>
  <c r="C49" i="6"/>
  <c r="G122" i="3"/>
  <c r="G39" i="1" s="1"/>
  <c r="J22" i="3"/>
  <c r="J23" i="3" s="1"/>
  <c r="K19" i="3" s="1"/>
  <c r="H15" i="3"/>
  <c r="I11" i="3" s="1"/>
  <c r="I14" i="3" s="1"/>
  <c r="H25" i="3"/>
  <c r="M58" i="3"/>
  <c r="M59" i="3"/>
  <c r="G37" i="3"/>
  <c r="H33" i="3" s="1"/>
  <c r="J34" i="3"/>
  <c r="K32" i="3"/>
  <c r="J35" i="3"/>
  <c r="L40" i="3"/>
  <c r="K42" i="3"/>
  <c r="K43" i="3"/>
  <c r="K44" i="3" s="1"/>
  <c r="K45" i="3" s="1"/>
  <c r="L41" i="3" s="1"/>
  <c r="J12" i="3"/>
  <c r="J13" i="3"/>
  <c r="K10" i="3"/>
  <c r="L48" i="3"/>
  <c r="K50" i="3"/>
  <c r="K51" i="3"/>
  <c r="K52" i="3" s="1"/>
  <c r="K53" i="3" s="1"/>
  <c r="L49" i="3" s="1"/>
  <c r="K20" i="3"/>
  <c r="K21" i="3" s="1"/>
  <c r="L18" i="3"/>
  <c r="M67" i="3"/>
  <c r="M68" i="3" s="1"/>
  <c r="M69" i="3" s="1"/>
  <c r="M66" i="3"/>
  <c r="G39" i="6" l="1"/>
  <c r="G42" i="6" s="1"/>
  <c r="G45" i="6" s="1"/>
  <c r="G47" i="6" s="1"/>
  <c r="G49" i="6" s="1"/>
  <c r="G39" i="5"/>
  <c r="G39" i="4"/>
  <c r="C50" i="6"/>
  <c r="C51" i="6" s="1"/>
  <c r="C54" i="6" s="1"/>
  <c r="M60" i="3"/>
  <c r="M61" i="3" s="1"/>
  <c r="K22" i="3"/>
  <c r="K23" i="3" s="1"/>
  <c r="L19" i="3" s="1"/>
  <c r="I15" i="3"/>
  <c r="J11" i="3" s="1"/>
  <c r="J14" i="3" s="1"/>
  <c r="I25" i="3"/>
  <c r="M18" i="3"/>
  <c r="L20" i="3"/>
  <c r="L21" i="3"/>
  <c r="M40" i="3"/>
  <c r="L43" i="3"/>
  <c r="L44" i="3" s="1"/>
  <c r="L45" i="3" s="1"/>
  <c r="M41" i="3" s="1"/>
  <c r="L42" i="3"/>
  <c r="K34" i="3"/>
  <c r="L32" i="3"/>
  <c r="K35" i="3"/>
  <c r="H36" i="3"/>
  <c r="H119" i="3" s="1"/>
  <c r="H122" i="3" s="1"/>
  <c r="H39" i="1" s="1"/>
  <c r="M48" i="3"/>
  <c r="L51" i="3"/>
  <c r="L52" i="3" s="1"/>
  <c r="L53" i="3" s="1"/>
  <c r="M49" i="3" s="1"/>
  <c r="L50" i="3"/>
  <c r="L10" i="3"/>
  <c r="K12" i="3"/>
  <c r="K13" i="3"/>
  <c r="H39" i="6" l="1"/>
  <c r="H42" i="6" s="1"/>
  <c r="H45" i="6" s="1"/>
  <c r="H47" i="6" s="1"/>
  <c r="H49" i="6" s="1"/>
  <c r="H39" i="5"/>
  <c r="H39" i="4"/>
  <c r="L22" i="3"/>
  <c r="L23" i="3" s="1"/>
  <c r="M19" i="3" s="1"/>
  <c r="J15" i="3"/>
  <c r="K11" i="3" s="1"/>
  <c r="K14" i="3" s="1"/>
  <c r="J25" i="3"/>
  <c r="M43" i="3"/>
  <c r="M44" i="3" s="1"/>
  <c r="M45" i="3" s="1"/>
  <c r="M42" i="3"/>
  <c r="L35" i="3"/>
  <c r="L34" i="3"/>
  <c r="M32" i="3"/>
  <c r="M20" i="3"/>
  <c r="M21" i="3"/>
  <c r="L12" i="3"/>
  <c r="M10" i="3"/>
  <c r="M13" i="3" s="1"/>
  <c r="L13" i="3"/>
  <c r="M51" i="3"/>
  <c r="M52" i="3" s="1"/>
  <c r="M53" i="3" s="1"/>
  <c r="M50" i="3"/>
  <c r="H37" i="3"/>
  <c r="I33" i="3" s="1"/>
  <c r="M22" i="3" l="1"/>
  <c r="M23" i="3" s="1"/>
  <c r="K15" i="3"/>
  <c r="L11" i="3" s="1"/>
  <c r="L14" i="3" s="1"/>
  <c r="K25" i="3"/>
  <c r="M35" i="3"/>
  <c r="M34" i="3"/>
  <c r="I36" i="3"/>
  <c r="I119" i="3" s="1"/>
  <c r="I122" i="3" s="1"/>
  <c r="I39" i="1" s="1"/>
  <c r="I39" i="6" l="1"/>
  <c r="I42" i="6" s="1"/>
  <c r="I45" i="6" s="1"/>
  <c r="I47" i="6" s="1"/>
  <c r="I49" i="6" s="1"/>
  <c r="I39" i="5"/>
  <c r="I39" i="4"/>
  <c r="L15" i="3"/>
  <c r="M11" i="3" s="1"/>
  <c r="M14" i="3" s="1"/>
  <c r="L25" i="3"/>
  <c r="I37" i="3"/>
  <c r="J33" i="3" s="1"/>
  <c r="J36" i="3" s="1"/>
  <c r="M15" i="3" l="1"/>
  <c r="M25" i="3"/>
  <c r="J37" i="3"/>
  <c r="K33" i="3" s="1"/>
  <c r="K36" i="3" s="1"/>
  <c r="J119" i="3"/>
  <c r="J122" i="3" s="1"/>
  <c r="J39" i="1" s="1"/>
  <c r="J39" i="5" l="1"/>
  <c r="J39" i="6"/>
  <c r="J42" i="6" s="1"/>
  <c r="J39" i="4"/>
  <c r="K37" i="3"/>
  <c r="L33" i="3" s="1"/>
  <c r="L36" i="3" s="1"/>
  <c r="K119" i="3"/>
  <c r="K122" i="3" s="1"/>
  <c r="K39" i="1" s="1"/>
  <c r="K39" i="5" l="1"/>
  <c r="K39" i="6"/>
  <c r="K42" i="6" s="1"/>
  <c r="K39" i="4"/>
  <c r="L37" i="3"/>
  <c r="M33" i="3" s="1"/>
  <c r="M36" i="3" s="1"/>
  <c r="L119" i="3"/>
  <c r="L122" i="3" s="1"/>
  <c r="L39" i="1" s="1"/>
  <c r="L39" i="5" l="1"/>
  <c r="L39" i="6"/>
  <c r="L42" i="6" s="1"/>
  <c r="L39" i="4"/>
  <c r="M37" i="3"/>
  <c r="M119" i="3"/>
  <c r="M122" i="3" s="1"/>
  <c r="M39" i="1" s="1"/>
  <c r="M39" i="4" l="1"/>
  <c r="M39" i="5"/>
  <c r="M39" i="6"/>
  <c r="M42" i="6" s="1"/>
  <c r="F42" i="1"/>
  <c r="G42" i="1"/>
  <c r="H42" i="1"/>
  <c r="I42" i="1"/>
  <c r="J42" i="1"/>
  <c r="K42" i="1"/>
  <c r="L42" i="1"/>
  <c r="M42" i="1"/>
  <c r="E42" i="1"/>
  <c r="F36" i="1"/>
  <c r="G36" i="1"/>
  <c r="H36" i="1"/>
  <c r="I36" i="1"/>
  <c r="J36" i="1"/>
  <c r="K36" i="1"/>
  <c r="L36" i="1"/>
  <c r="M36" i="1"/>
  <c r="E36" i="1"/>
  <c r="D33" i="1"/>
  <c r="D33" i="4" s="1"/>
  <c r="D42" i="4" s="1"/>
  <c r="E33" i="1"/>
  <c r="E33" i="4" s="1"/>
  <c r="F33" i="1"/>
  <c r="F33" i="4" s="1"/>
  <c r="G33" i="1"/>
  <c r="G33" i="4" s="1"/>
  <c r="H33" i="1"/>
  <c r="H33" i="4" s="1"/>
  <c r="I33" i="1"/>
  <c r="I33" i="4" s="1"/>
  <c r="J33" i="1"/>
  <c r="J33" i="4" s="1"/>
  <c r="K33" i="1"/>
  <c r="K33" i="4" s="1"/>
  <c r="L33" i="1"/>
  <c r="L33" i="4" s="1"/>
  <c r="M33" i="1"/>
  <c r="M33" i="4" s="1"/>
  <c r="C33" i="1"/>
  <c r="C33" i="4" s="1"/>
  <c r="C42" i="4" s="1"/>
  <c r="C29" i="1"/>
  <c r="F21" i="1"/>
  <c r="G21" i="1"/>
  <c r="H21" i="1"/>
  <c r="I21" i="1"/>
  <c r="J21" i="1"/>
  <c r="K21" i="1"/>
  <c r="L21" i="1"/>
  <c r="M21" i="1"/>
  <c r="E21" i="1"/>
  <c r="D18" i="1"/>
  <c r="E18" i="1"/>
  <c r="F18" i="1"/>
  <c r="G18" i="1"/>
  <c r="H18" i="1"/>
  <c r="I18" i="1"/>
  <c r="J18" i="1"/>
  <c r="K18" i="1"/>
  <c r="L18" i="1"/>
  <c r="M18" i="1"/>
  <c r="C18" i="1"/>
  <c r="J43" i="1"/>
  <c r="K43" i="1"/>
  <c r="L43" i="1"/>
  <c r="M43" i="1"/>
  <c r="E100" i="2"/>
  <c r="E43" i="4" s="1"/>
  <c r="F100" i="2"/>
  <c r="F43" i="4" s="1"/>
  <c r="C67" i="2"/>
  <c r="D67" i="2"/>
  <c r="C65" i="2"/>
  <c r="D65" i="2"/>
  <c r="E65" i="2"/>
  <c r="F65" i="2"/>
  <c r="G65" i="2"/>
  <c r="G10" i="2"/>
  <c r="H10" i="2"/>
  <c r="I10" i="2"/>
  <c r="E7" i="2"/>
  <c r="F7" i="2"/>
  <c r="G7" i="2"/>
  <c r="H7" i="2"/>
  <c r="I7" i="2"/>
  <c r="M100" i="2"/>
  <c r="M43" i="4" s="1"/>
  <c r="L100" i="2"/>
  <c r="L43" i="4" s="1"/>
  <c r="K100" i="2"/>
  <c r="K43" i="4" s="1"/>
  <c r="J100" i="2"/>
  <c r="J43" i="4" s="1"/>
  <c r="I100" i="2"/>
  <c r="I43" i="4" s="1"/>
  <c r="H100" i="2"/>
  <c r="H43" i="4" s="1"/>
  <c r="G100" i="2"/>
  <c r="G43" i="4" s="1"/>
  <c r="M65" i="2"/>
  <c r="L65" i="2"/>
  <c r="K65" i="2"/>
  <c r="J65" i="2"/>
  <c r="I65" i="2"/>
  <c r="H65" i="2"/>
  <c r="C57" i="2"/>
  <c r="H53" i="2"/>
  <c r="I52" i="2"/>
  <c r="H52" i="2"/>
  <c r="I51" i="2"/>
  <c r="H51" i="2"/>
  <c r="H50" i="2"/>
  <c r="M47" i="2"/>
  <c r="L47" i="2"/>
  <c r="K47" i="2"/>
  <c r="J47" i="2"/>
  <c r="M11" i="2"/>
  <c r="L11" i="2"/>
  <c r="K11" i="2"/>
  <c r="J11" i="2"/>
  <c r="I11" i="2"/>
  <c r="H11" i="2"/>
  <c r="F10" i="2"/>
  <c r="E10" i="2"/>
  <c r="M7" i="2"/>
  <c r="L7" i="2"/>
  <c r="K7" i="2"/>
  <c r="J7" i="2"/>
  <c r="I36" i="4" l="1"/>
  <c r="I36" i="5"/>
  <c r="F23" i="1"/>
  <c r="F18" i="5"/>
  <c r="F23" i="5" s="1"/>
  <c r="F25" i="5" s="1"/>
  <c r="F36" i="5"/>
  <c r="F36" i="4"/>
  <c r="L23" i="1"/>
  <c r="L25" i="1" s="1"/>
  <c r="M61" i="8" s="1"/>
  <c r="L18" i="5"/>
  <c r="L23" i="5" s="1"/>
  <c r="L25" i="5" s="1"/>
  <c r="D23" i="1"/>
  <c r="D25" i="1" s="1"/>
  <c r="D18" i="5"/>
  <c r="D23" i="5" s="1"/>
  <c r="G21" i="5"/>
  <c r="G21" i="4"/>
  <c r="L36" i="4"/>
  <c r="L36" i="5"/>
  <c r="I23" i="1"/>
  <c r="I25" i="1" s="1"/>
  <c r="J61" i="8" s="1"/>
  <c r="I18" i="5"/>
  <c r="I23" i="5" s="1"/>
  <c r="I25" i="5" s="1"/>
  <c r="H23" i="1"/>
  <c r="H18" i="5"/>
  <c r="H23" i="5" s="1"/>
  <c r="H25" i="5" s="1"/>
  <c r="K21" i="4"/>
  <c r="K21" i="5"/>
  <c r="H36" i="5"/>
  <c r="H36" i="4"/>
  <c r="C23" i="1"/>
  <c r="C25" i="1" s="1"/>
  <c r="C55" i="6" s="1"/>
  <c r="C18" i="5"/>
  <c r="C23" i="5" s="1"/>
  <c r="I21" i="5"/>
  <c r="I21" i="4"/>
  <c r="E36" i="5"/>
  <c r="E36" i="4"/>
  <c r="M23" i="1"/>
  <c r="M25" i="1" s="1"/>
  <c r="N61" i="8" s="1"/>
  <c r="M18" i="5"/>
  <c r="M23" i="5" s="1"/>
  <c r="M25" i="5" s="1"/>
  <c r="H21" i="5"/>
  <c r="H21" i="4"/>
  <c r="K23" i="1"/>
  <c r="K41" i="1" s="1"/>
  <c r="K18" i="5"/>
  <c r="K23" i="5" s="1"/>
  <c r="K25" i="5" s="1"/>
  <c r="E21" i="5"/>
  <c r="E21" i="4"/>
  <c r="F21" i="5"/>
  <c r="F21" i="4"/>
  <c r="K36" i="5"/>
  <c r="K36" i="4"/>
  <c r="L21" i="4"/>
  <c r="L21" i="5"/>
  <c r="G23" i="1"/>
  <c r="G18" i="5"/>
  <c r="G23" i="5" s="1"/>
  <c r="G25" i="5" s="1"/>
  <c r="J21" i="5"/>
  <c r="J21" i="4"/>
  <c r="G36" i="5"/>
  <c r="G36" i="4"/>
  <c r="E23" i="1"/>
  <c r="E18" i="5"/>
  <c r="E23" i="5" s="1"/>
  <c r="E25" i="5" s="1"/>
  <c r="M36" i="5"/>
  <c r="M36" i="4"/>
  <c r="J23" i="1"/>
  <c r="J25" i="1" s="1"/>
  <c r="K61" i="8" s="1"/>
  <c r="J18" i="5"/>
  <c r="J23" i="5" s="1"/>
  <c r="J25" i="5" s="1"/>
  <c r="M21" i="5"/>
  <c r="M21" i="4"/>
  <c r="J36" i="5"/>
  <c r="J36" i="4"/>
  <c r="F42" i="4"/>
  <c r="F42" i="5"/>
  <c r="J44" i="4"/>
  <c r="J44" i="6"/>
  <c r="J45" i="6" s="1"/>
  <c r="J47" i="6" s="1"/>
  <c r="J49" i="6" s="1"/>
  <c r="J44" i="5"/>
  <c r="M44" i="4"/>
  <c r="M44" i="6"/>
  <c r="M45" i="6" s="1"/>
  <c r="M47" i="6" s="1"/>
  <c r="M49" i="6" s="1"/>
  <c r="M44" i="5"/>
  <c r="L44" i="4"/>
  <c r="L44" i="6"/>
  <c r="L45" i="6" s="1"/>
  <c r="L47" i="6" s="1"/>
  <c r="L49" i="6" s="1"/>
  <c r="L44" i="5"/>
  <c r="K44" i="4"/>
  <c r="K44" i="6"/>
  <c r="K45" i="6" s="1"/>
  <c r="K47" i="6" s="1"/>
  <c r="K49" i="6" s="1"/>
  <c r="K44" i="5"/>
  <c r="I42" i="4"/>
  <c r="H42" i="5"/>
  <c r="E42" i="4"/>
  <c r="E42" i="5"/>
  <c r="G41" i="1"/>
  <c r="E41" i="1"/>
  <c r="H41" i="1"/>
  <c r="F25" i="1"/>
  <c r="G61" i="8" s="1"/>
  <c r="F41" i="1"/>
  <c r="K25" i="1"/>
  <c r="L61" i="8" s="1"/>
  <c r="H25" i="1"/>
  <c r="I61" i="8" s="1"/>
  <c r="G25" i="1"/>
  <c r="H61" i="8" s="1"/>
  <c r="E25" i="1"/>
  <c r="G27" i="1" l="1"/>
  <c r="H27" i="1"/>
  <c r="I27" i="1"/>
  <c r="F61" i="8"/>
  <c r="J27" i="1"/>
  <c r="K27" i="1"/>
  <c r="F27" i="1"/>
  <c r="L27" i="1"/>
  <c r="M27" i="1"/>
  <c r="E27" i="1"/>
  <c r="C27" i="1"/>
  <c r="U8" i="1" s="1"/>
  <c r="D41" i="1"/>
  <c r="G42" i="5"/>
  <c r="I41" i="1"/>
  <c r="I44" i="1" s="1"/>
  <c r="G45" i="5"/>
  <c r="G47" i="5" s="1"/>
  <c r="G49" i="5" s="1"/>
  <c r="C25" i="5"/>
  <c r="C42" i="5"/>
  <c r="F45" i="5"/>
  <c r="F47" i="5" s="1"/>
  <c r="F49" i="5" s="1"/>
  <c r="I42" i="5"/>
  <c r="E45" i="5"/>
  <c r="E47" i="5" s="1"/>
  <c r="E49" i="5" s="1"/>
  <c r="H45" i="5"/>
  <c r="H47" i="5" s="1"/>
  <c r="H49" i="5" s="1"/>
  <c r="D25" i="5"/>
  <c r="D42" i="5"/>
  <c r="C41" i="1"/>
  <c r="C44" i="1" s="1"/>
  <c r="D44" i="1"/>
  <c r="D46" i="1" s="1"/>
  <c r="K44" i="1"/>
  <c r="E44" i="1"/>
  <c r="F44" i="1"/>
  <c r="G44" i="1"/>
  <c r="H44" i="1"/>
  <c r="M42" i="4"/>
  <c r="M42" i="5"/>
  <c r="M45" i="5" s="1"/>
  <c r="M47" i="5" s="1"/>
  <c r="L42" i="4"/>
  <c r="L42" i="5"/>
  <c r="L41" i="1"/>
  <c r="J42" i="4"/>
  <c r="J42" i="5"/>
  <c r="J45" i="5" s="1"/>
  <c r="J47" i="5" s="1"/>
  <c r="K42" i="4"/>
  <c r="K42" i="5"/>
  <c r="K45" i="5" s="1"/>
  <c r="K47" i="5" s="1"/>
  <c r="M41" i="1"/>
  <c r="J41" i="1"/>
  <c r="J44" i="1" s="1"/>
  <c r="C26" i="1"/>
  <c r="R8" i="1" s="1"/>
  <c r="K104" i="8" l="1"/>
  <c r="L27" i="5"/>
  <c r="L27" i="6"/>
  <c r="D104" i="8"/>
  <c r="E27" i="6"/>
  <c r="E27" i="5"/>
  <c r="L104" i="8"/>
  <c r="M27" i="5"/>
  <c r="M27" i="6"/>
  <c r="E104" i="8"/>
  <c r="F27" i="5"/>
  <c r="F27" i="6"/>
  <c r="I104" i="8"/>
  <c r="J27" i="5"/>
  <c r="J27" i="6"/>
  <c r="H104" i="8"/>
  <c r="I27" i="5"/>
  <c r="I27" i="6"/>
  <c r="E46" i="1"/>
  <c r="J104" i="8"/>
  <c r="K27" i="5"/>
  <c r="K27" i="6"/>
  <c r="G104" i="8"/>
  <c r="H27" i="5"/>
  <c r="H27" i="6"/>
  <c r="F104" i="8"/>
  <c r="G27" i="5"/>
  <c r="G27" i="6"/>
  <c r="C46" i="1"/>
  <c r="C48" i="1" s="1"/>
  <c r="C49" i="1" s="1"/>
  <c r="C50" i="1" s="1"/>
  <c r="D45" i="5"/>
  <c r="D47" i="5" s="1"/>
  <c r="D49" i="5" s="1"/>
  <c r="I45" i="5"/>
  <c r="I47" i="5" s="1"/>
  <c r="I49" i="5" s="1"/>
  <c r="L45" i="5"/>
  <c r="L47" i="5" s="1"/>
  <c r="L49" i="5" s="1"/>
  <c r="C45" i="5"/>
  <c r="C47" i="5" s="1"/>
  <c r="C49" i="5" s="1"/>
  <c r="C50" i="5" s="1"/>
  <c r="C51" i="5" s="1"/>
  <c r="C26" i="5"/>
  <c r="R5" i="5" s="1"/>
  <c r="C27" i="5"/>
  <c r="U5" i="5" s="1"/>
  <c r="L44" i="1"/>
  <c r="L46" i="1" s="1"/>
  <c r="M44" i="1"/>
  <c r="M46" i="1" s="1"/>
  <c r="M49" i="5"/>
  <c r="K49" i="5"/>
  <c r="J49" i="5"/>
  <c r="C26" i="6"/>
  <c r="R11" i="6" s="1"/>
  <c r="C27" i="6"/>
  <c r="U11" i="6" s="1"/>
  <c r="E50" i="6"/>
  <c r="E51" i="6" s="1"/>
  <c r="E54" i="6" s="1"/>
  <c r="J46" i="1"/>
  <c r="D50" i="6"/>
  <c r="D51" i="6" s="1"/>
  <c r="D54" i="6" s="1"/>
  <c r="K46" i="1"/>
  <c r="F46" i="1"/>
  <c r="G46" i="1"/>
  <c r="I46" i="1"/>
  <c r="H46" i="1"/>
  <c r="E48" i="1"/>
  <c r="D48" i="1"/>
  <c r="D49" i="1" s="1"/>
  <c r="D33" i="8" l="1"/>
  <c r="C54" i="5"/>
  <c r="C55" i="5" s="1"/>
  <c r="J48" i="1"/>
  <c r="J49" i="1" s="1"/>
  <c r="D50" i="1"/>
  <c r="D53" i="1" s="1"/>
  <c r="D50" i="5"/>
  <c r="D51" i="5" s="1"/>
  <c r="D54" i="5" s="1"/>
  <c r="D55" i="5" s="1"/>
  <c r="H50" i="6"/>
  <c r="H51" i="6" s="1"/>
  <c r="H54" i="6" s="1"/>
  <c r="G50" i="6"/>
  <c r="G51" i="6" s="1"/>
  <c r="G54" i="6" s="1"/>
  <c r="F50" i="6"/>
  <c r="F51" i="6" s="1"/>
  <c r="F54" i="6" s="1"/>
  <c r="D55" i="6"/>
  <c r="K50" i="6"/>
  <c r="K51" i="6" s="1"/>
  <c r="K54" i="6" s="1"/>
  <c r="E55" i="6"/>
  <c r="H48" i="1"/>
  <c r="K48" i="1"/>
  <c r="K49" i="1" s="1"/>
  <c r="M48" i="1"/>
  <c r="G48" i="1"/>
  <c r="I48" i="1"/>
  <c r="F48" i="1"/>
  <c r="L48" i="1"/>
  <c r="E49" i="1"/>
  <c r="C53" i="1"/>
  <c r="D35" i="8" l="1"/>
  <c r="D62" i="8"/>
  <c r="C54" i="1"/>
  <c r="D54" i="1"/>
  <c r="E62" i="8"/>
  <c r="K50" i="5"/>
  <c r="K51" i="5" s="1"/>
  <c r="K54" i="5" s="1"/>
  <c r="K55" i="5" s="1"/>
  <c r="L63" i="8"/>
  <c r="E50" i="5"/>
  <c r="E51" i="5" s="1"/>
  <c r="E54" i="5" s="1"/>
  <c r="E55" i="5" s="1"/>
  <c r="F63" i="8"/>
  <c r="J50" i="5"/>
  <c r="J51" i="5" s="1"/>
  <c r="J54" i="5" s="1"/>
  <c r="J55" i="5" s="1"/>
  <c r="K63" i="8"/>
  <c r="L50" i="6"/>
  <c r="L51" i="6" s="1"/>
  <c r="F55" i="6"/>
  <c r="G55" i="6"/>
  <c r="M50" i="6"/>
  <c r="M51" i="6" s="1"/>
  <c r="H55" i="6"/>
  <c r="J50" i="6"/>
  <c r="J51" i="6" s="1"/>
  <c r="K55" i="6"/>
  <c r="I50" i="6"/>
  <c r="I51" i="6" s="1"/>
  <c r="H49" i="1"/>
  <c r="I49" i="1"/>
  <c r="G49" i="1"/>
  <c r="L49" i="1"/>
  <c r="F49" i="1"/>
  <c r="J50" i="1"/>
  <c r="K50" i="1"/>
  <c r="M49" i="1"/>
  <c r="E50" i="1"/>
  <c r="M50" i="5" l="1"/>
  <c r="M51" i="5" s="1"/>
  <c r="M54" i="5" s="1"/>
  <c r="M55" i="5" s="1"/>
  <c r="N63" i="8"/>
  <c r="L50" i="5"/>
  <c r="L51" i="5" s="1"/>
  <c r="L54" i="5" s="1"/>
  <c r="L55" i="5" s="1"/>
  <c r="M63" i="8"/>
  <c r="G50" i="5"/>
  <c r="G51" i="5" s="1"/>
  <c r="H63" i="8"/>
  <c r="I50" i="5"/>
  <c r="I51" i="5" s="1"/>
  <c r="I54" i="5" s="1"/>
  <c r="I55" i="5" s="1"/>
  <c r="J63" i="8"/>
  <c r="H50" i="5"/>
  <c r="H51" i="5" s="1"/>
  <c r="I63" i="8"/>
  <c r="F50" i="5"/>
  <c r="F51" i="5" s="1"/>
  <c r="F54" i="5" s="1"/>
  <c r="F55" i="5" s="1"/>
  <c r="G63" i="8"/>
  <c r="M54" i="6"/>
  <c r="M55" i="6" s="1"/>
  <c r="J54" i="6"/>
  <c r="J55" i="6" s="1"/>
  <c r="L54" i="6"/>
  <c r="L55" i="6" s="1"/>
  <c r="I54" i="6"/>
  <c r="I55" i="6" s="1"/>
  <c r="F50" i="1"/>
  <c r="K53" i="1"/>
  <c r="L62" i="8" s="1"/>
  <c r="G50" i="1"/>
  <c r="J53" i="1"/>
  <c r="K62" i="8" s="1"/>
  <c r="L50" i="1"/>
  <c r="M50" i="1"/>
  <c r="I50" i="1"/>
  <c r="H50" i="1"/>
  <c r="E53" i="1"/>
  <c r="F62" i="8" s="1"/>
  <c r="D36" i="8" l="1"/>
  <c r="D37" i="8" s="1"/>
  <c r="C33" i="8" s="1"/>
  <c r="C56" i="6"/>
  <c r="S11" i="6" s="1"/>
  <c r="C58" i="6"/>
  <c r="V11" i="6" s="1"/>
  <c r="K54" i="1"/>
  <c r="F53" i="1"/>
  <c r="G62" i="8" s="1"/>
  <c r="H53" i="1"/>
  <c r="I62" i="8" s="1"/>
  <c r="I53" i="1"/>
  <c r="J62" i="8" s="1"/>
  <c r="M53" i="1"/>
  <c r="N62" i="8" s="1"/>
  <c r="L53" i="1"/>
  <c r="M62" i="8" s="1"/>
  <c r="J54" i="1"/>
  <c r="G53" i="1"/>
  <c r="H62" i="8" s="1"/>
  <c r="E54" i="1"/>
  <c r="C35" i="8" l="1"/>
  <c r="C34" i="8"/>
  <c r="C31" i="8"/>
  <c r="C32" i="8"/>
  <c r="C36" i="8"/>
  <c r="C57" i="6"/>
  <c r="G54" i="1"/>
  <c r="L54" i="1"/>
  <c r="M54" i="1"/>
  <c r="F54" i="1"/>
  <c r="G57" i="1" s="1"/>
  <c r="I54" i="1"/>
  <c r="H54" i="1"/>
  <c r="C37" i="8" l="1"/>
  <c r="F105" i="8"/>
  <c r="G58" i="5"/>
  <c r="G58" i="6"/>
  <c r="M57" i="1"/>
  <c r="L57" i="1"/>
  <c r="K57" i="1"/>
  <c r="J57" i="1"/>
  <c r="F57" i="1"/>
  <c r="I57" i="1"/>
  <c r="H57" i="1"/>
  <c r="T11" i="6"/>
  <c r="C59" i="6"/>
  <c r="C55" i="1"/>
  <c r="S8" i="1" s="1"/>
  <c r="C57" i="1"/>
  <c r="V8" i="1" s="1"/>
  <c r="E105" i="8" l="1"/>
  <c r="F58" i="6"/>
  <c r="F58" i="5"/>
  <c r="G105" i="8"/>
  <c r="H58" i="6"/>
  <c r="H58" i="5"/>
  <c r="H105" i="8"/>
  <c r="I58" i="6"/>
  <c r="I58" i="5"/>
  <c r="I105" i="8"/>
  <c r="J58" i="5"/>
  <c r="J58" i="6"/>
  <c r="K105" i="8"/>
  <c r="L58" i="5"/>
  <c r="L58" i="6"/>
  <c r="J105" i="8"/>
  <c r="K58" i="6"/>
  <c r="K58" i="5"/>
  <c r="L105" i="8"/>
  <c r="M58" i="5"/>
  <c r="M58" i="6"/>
  <c r="C56" i="1"/>
  <c r="G40" i="4"/>
  <c r="H40" i="4"/>
  <c r="G40" i="5" l="1"/>
  <c r="G54" i="5" s="1"/>
  <c r="G55" i="5" s="1"/>
  <c r="D88" i="8"/>
  <c r="D89" i="8" s="1"/>
  <c r="T8" i="1"/>
  <c r="C58" i="1"/>
  <c r="G42" i="4"/>
  <c r="H40" i="5"/>
  <c r="H54" i="5" s="1"/>
  <c r="H55" i="5" s="1"/>
  <c r="H42" i="4"/>
  <c r="C56" i="5" l="1"/>
  <c r="C57" i="5" s="1"/>
  <c r="C58" i="5"/>
  <c r="V5" i="5" s="1"/>
  <c r="B43" i="4"/>
  <c r="D45" i="4" s="1"/>
  <c r="S5" i="5" l="1"/>
  <c r="T5" i="5"/>
  <c r="C59" i="5"/>
  <c r="C45" i="4"/>
  <c r="C47" i="4" s="1"/>
  <c r="L45" i="4"/>
  <c r="L47" i="4" s="1"/>
  <c r="L49" i="4" s="1"/>
  <c r="J45" i="4"/>
  <c r="J47" i="4" s="1"/>
  <c r="J49" i="4" s="1"/>
  <c r="J50" i="4" s="1"/>
  <c r="J51" i="4" s="1"/>
  <c r="I45" i="4"/>
  <c r="I47" i="4" s="1"/>
  <c r="I49" i="4" s="1"/>
  <c r="I50" i="4" s="1"/>
  <c r="I51" i="4" s="1"/>
  <c r="D47" i="4"/>
  <c r="G45" i="4"/>
  <c r="H45" i="4"/>
  <c r="E45" i="4"/>
  <c r="F45" i="4"/>
  <c r="K45" i="4"/>
  <c r="M45" i="4"/>
  <c r="L50" i="4" l="1"/>
  <c r="L51" i="4" s="1"/>
  <c r="L54" i="4" s="1"/>
  <c r="L55" i="4" s="1"/>
  <c r="I54" i="4"/>
  <c r="I55" i="4" s="1"/>
  <c r="K47" i="4"/>
  <c r="F47" i="4"/>
  <c r="E47" i="4"/>
  <c r="H47" i="4"/>
  <c r="G47" i="4"/>
  <c r="D49" i="4"/>
  <c r="J54" i="4"/>
  <c r="J55" i="4" s="1"/>
  <c r="C49" i="4"/>
  <c r="C50" i="4" s="1"/>
  <c r="C51" i="4" s="1"/>
  <c r="M47" i="4"/>
  <c r="J58" i="4" l="1"/>
  <c r="I106" i="8" s="1"/>
  <c r="C54" i="4"/>
  <c r="M49" i="4"/>
  <c r="M50" i="4" s="1"/>
  <c r="M51" i="4" s="1"/>
  <c r="E49" i="4"/>
  <c r="E50" i="4" s="1"/>
  <c r="E51" i="4" s="1"/>
  <c r="D50" i="4"/>
  <c r="D51" i="4" s="1"/>
  <c r="D54" i="4" s="1"/>
  <c r="D55" i="4" s="1"/>
  <c r="F49" i="4"/>
  <c r="G49" i="4"/>
  <c r="K49" i="4"/>
  <c r="K50" i="4" s="1"/>
  <c r="K51" i="4" s="1"/>
  <c r="H49" i="4"/>
  <c r="H50" i="4" s="1"/>
  <c r="H51" i="4" s="1"/>
  <c r="C55" i="4" l="1"/>
  <c r="H54" i="4"/>
  <c r="H55" i="4" s="1"/>
  <c r="M54" i="4"/>
  <c r="M55" i="4" s="1"/>
  <c r="F50" i="4"/>
  <c r="F51" i="4" s="1"/>
  <c r="F54" i="4" s="1"/>
  <c r="F55" i="4" s="1"/>
  <c r="E54" i="4"/>
  <c r="E55" i="4" s="1"/>
  <c r="K54" i="4"/>
  <c r="K55" i="4" s="1"/>
  <c r="G50" i="4"/>
  <c r="G51" i="4" s="1"/>
  <c r="G54" i="4" s="1"/>
  <c r="G55" i="4" s="1"/>
  <c r="K58" i="4" l="1"/>
  <c r="J106" i="8" s="1"/>
  <c r="L58" i="4"/>
  <c r="K106" i="8" s="1"/>
  <c r="M58" i="4"/>
  <c r="L106" i="8" s="1"/>
  <c r="D86" i="8"/>
  <c r="C56" i="4"/>
  <c r="C57" i="4" s="1"/>
  <c r="C58" i="4"/>
  <c r="V10" i="4" s="1"/>
  <c r="D90" i="8" l="1"/>
  <c r="C90" i="8" s="1"/>
  <c r="C89" i="8"/>
  <c r="T10" i="4"/>
  <c r="C59" i="4"/>
  <c r="S10" i="4"/>
</calcChain>
</file>

<file path=xl/sharedStrings.xml><?xml version="1.0" encoding="utf-8"?>
<sst xmlns="http://schemas.openxmlformats.org/spreadsheetml/2006/main" count="760" uniqueCount="214">
  <si>
    <t>Unités</t>
  </si>
  <si>
    <t>Production</t>
  </si>
  <si>
    <t>Quantité Traité</t>
  </si>
  <si>
    <t>t</t>
  </si>
  <si>
    <t>Teneur en or</t>
  </si>
  <si>
    <t>g/t</t>
  </si>
  <si>
    <t xml:space="preserve">Quantité d'Or Récupéré </t>
  </si>
  <si>
    <t>oz</t>
  </si>
  <si>
    <t>Cours de l'or</t>
  </si>
  <si>
    <t>$/oz</t>
  </si>
  <si>
    <t>Chiffre d'Affaire</t>
  </si>
  <si>
    <t>$</t>
  </si>
  <si>
    <t>Coûts d'investissement (CAPEX)</t>
  </si>
  <si>
    <t>TOTAL CAPITAL</t>
  </si>
  <si>
    <t>Coûts d'exploitation (Opex)/hors redevance</t>
  </si>
  <si>
    <t>Coûts d'exploitation moyen (Opex) /hors redevance</t>
  </si>
  <si>
    <t>Coût Totaux</t>
  </si>
  <si>
    <t>Cash-flows avant impôts</t>
  </si>
  <si>
    <t>VAN avant impôts</t>
  </si>
  <si>
    <t>TRI avant impôts</t>
  </si>
  <si>
    <t>Redevance superficière</t>
  </si>
  <si>
    <t>Bénéfice imposable</t>
  </si>
  <si>
    <t>Taux  IS</t>
  </si>
  <si>
    <t>Montant IMF</t>
  </si>
  <si>
    <t>IS/IMF</t>
  </si>
  <si>
    <t>Cash-Flows après imôts</t>
  </si>
  <si>
    <t>VAN après impôts</t>
  </si>
  <si>
    <t>TEMI</t>
  </si>
  <si>
    <t>TRI après impôts</t>
  </si>
  <si>
    <t>Droits fixes</t>
  </si>
  <si>
    <t>Superficie de la mine</t>
  </si>
  <si>
    <t>Montant de la redevance</t>
  </si>
  <si>
    <t>Redevance proportionnelle</t>
  </si>
  <si>
    <t>taux de la redevance</t>
  </si>
  <si>
    <t>Charges d'amortissement</t>
  </si>
  <si>
    <t>Taux de change</t>
  </si>
  <si>
    <t>Taux d'actualisation</t>
  </si>
  <si>
    <t>Résultat après impôt</t>
  </si>
  <si>
    <t>Participation de l'Etat</t>
  </si>
  <si>
    <t>Dividende de l'Etat</t>
  </si>
  <si>
    <t>Part de la société</t>
  </si>
  <si>
    <t>Impôt sur les dividendes</t>
  </si>
  <si>
    <t>Recettes totales de l'Etat</t>
  </si>
  <si>
    <t>Phase d'investissement</t>
  </si>
  <si>
    <t>Phase d'exploitation</t>
  </si>
  <si>
    <t>Convention (identique au code de 2003)</t>
  </si>
  <si>
    <t>Impot sur les sociétés</t>
  </si>
  <si>
    <t xml:space="preserve">Taux </t>
  </si>
  <si>
    <t>Amortissement</t>
  </si>
  <si>
    <t>IMF</t>
  </si>
  <si>
    <t>Minimum</t>
  </si>
  <si>
    <t>Taux</t>
  </si>
  <si>
    <t>Impot sur les dividendes(IRCM)</t>
  </si>
  <si>
    <t>Taxe sur les intérets (IRCM)</t>
  </si>
  <si>
    <t>Taxe sur la valeur ajoutée</t>
  </si>
  <si>
    <t>Droits d'enregistrement</t>
  </si>
  <si>
    <t>Patente</t>
  </si>
  <si>
    <t>Taxe patronale d'apprentissage</t>
  </si>
  <si>
    <t>Taxe sur les biens de main morte</t>
  </si>
  <si>
    <t>Droit de douane</t>
  </si>
  <si>
    <t>Redevance statistique</t>
  </si>
  <si>
    <t>Prélèvements communautaires</t>
  </si>
  <si>
    <t>Autres droits et taxes de douanes</t>
  </si>
  <si>
    <t>Taux cumulé</t>
  </si>
  <si>
    <t>Revedances minières</t>
  </si>
  <si>
    <t>Redevances fixes</t>
  </si>
  <si>
    <t>Redevances superficiaires</t>
  </si>
  <si>
    <t>Redevances proportionnelles</t>
  </si>
  <si>
    <t>Fonds de réhabilitation</t>
  </si>
  <si>
    <t>Code minier 2003</t>
  </si>
  <si>
    <t>Droit fixe</t>
  </si>
  <si>
    <t>Droit proportionnel</t>
  </si>
  <si>
    <t>Redevances proportionnelles (cours 1100 et 1300)</t>
  </si>
  <si>
    <t>Redevances proportionnelles (cours de 1000)</t>
  </si>
  <si>
    <t>Redevances proportionnelles (cours de 1600)</t>
  </si>
  <si>
    <t>Code minier 2015</t>
  </si>
  <si>
    <t>Fonds de développement local</t>
  </si>
  <si>
    <t>Droit commun (CGI et autres textes)</t>
  </si>
  <si>
    <t>Montant minimum</t>
  </si>
  <si>
    <t>Barème</t>
  </si>
  <si>
    <t>Nom</t>
  </si>
  <si>
    <t>Unité</t>
  </si>
  <si>
    <t>Durée restante maximum</t>
  </si>
  <si>
    <t>Années</t>
  </si>
  <si>
    <t>I. AMORTISSEMENTS DES CONSTRUCTIONS INDUSTRIELLES</t>
  </si>
  <si>
    <t>Durée d'amortissement linéaire</t>
  </si>
  <si>
    <t>Coefficient d'amortissement dégressif</t>
  </si>
  <si>
    <t>Coefficient</t>
  </si>
  <si>
    <t>Immobilisations de l'année A1</t>
  </si>
  <si>
    <t>Durée restante</t>
  </si>
  <si>
    <t>Base amortissable</t>
  </si>
  <si>
    <t>USD</t>
  </si>
  <si>
    <t>Inverse de la durée restante</t>
  </si>
  <si>
    <t>%</t>
  </si>
  <si>
    <t>Taux dégressif</t>
  </si>
  <si>
    <t>Charge d'amortissement</t>
  </si>
  <si>
    <t>Amortissement restant</t>
  </si>
  <si>
    <t>Immobilisations de l'année A2</t>
  </si>
  <si>
    <t>Amortissements des constructions industrielles</t>
  </si>
  <si>
    <t>II. AMORTISSEMENTS DES BIENS D'EQUIPEMENT</t>
  </si>
  <si>
    <t>Immobilisations de l'année A3</t>
  </si>
  <si>
    <t>Immobilisations de l'année A4</t>
  </si>
  <si>
    <t>Immobilisations de l'année A5</t>
  </si>
  <si>
    <t>Immobilisations de l'année A6</t>
  </si>
  <si>
    <t>Immobilisations de l'année A7</t>
  </si>
  <si>
    <t>Immobilisations de l'année A8</t>
  </si>
  <si>
    <t>Immobilisations de l'année A9</t>
  </si>
  <si>
    <t>Immobilisations de l'année A10</t>
  </si>
  <si>
    <t>Immobilisations de l'année A11</t>
  </si>
  <si>
    <t>Amortissements des biens d'équipement</t>
  </si>
  <si>
    <t>Coûts des construction industrielles</t>
  </si>
  <si>
    <t>Coûts des biens d'équipement</t>
  </si>
  <si>
    <t>Coûts de réhabilitation du site</t>
  </si>
  <si>
    <t>Autres depenses</t>
  </si>
  <si>
    <t>Developpement local</t>
  </si>
  <si>
    <r>
      <t>Droits fixes (6000$/Km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)</t>
    </r>
  </si>
  <si>
    <t>Taxe sur les substances minières</t>
  </si>
  <si>
    <t>taux de la taxe</t>
  </si>
  <si>
    <t>Contribution au développement local</t>
  </si>
  <si>
    <t>IS</t>
  </si>
  <si>
    <t xml:space="preserve">Taux de redevance propotionelle </t>
  </si>
  <si>
    <t>VAN AV IMPÔT</t>
  </si>
  <si>
    <t>VAN AP IMPÔT</t>
  </si>
  <si>
    <t>TRI AV</t>
  </si>
  <si>
    <t>TRI AP</t>
  </si>
  <si>
    <t>Données</t>
  </si>
  <si>
    <t>27;5%</t>
  </si>
  <si>
    <t>Taux d'actualisation 5%</t>
  </si>
  <si>
    <t>Cours de l'Or</t>
  </si>
  <si>
    <t>Avant impôts</t>
  </si>
  <si>
    <t>VAN</t>
  </si>
  <si>
    <t>TRI</t>
  </si>
  <si>
    <t>Après impôts</t>
  </si>
  <si>
    <t>Taux d'actualisation 10%</t>
  </si>
  <si>
    <t>Code minier de 2003</t>
  </si>
  <si>
    <t>Code minier de 2015</t>
  </si>
  <si>
    <t>Phase préparatoire</t>
  </si>
  <si>
    <t>Phase de production</t>
  </si>
  <si>
    <t>Durée du titre</t>
  </si>
  <si>
    <t>20 ans</t>
  </si>
  <si>
    <t>idem</t>
  </si>
  <si>
    <t>Renouvellement</t>
  </si>
  <si>
    <t>5 ans</t>
  </si>
  <si>
    <t>Part de l'Etat</t>
  </si>
  <si>
    <t>5 millions de FCFA</t>
  </si>
  <si>
    <t>7,5 millions années 1 à 5; 10 millions années 6 à 10 et 15 millions après</t>
  </si>
  <si>
    <t>Investisseur 1% du chiffres d'affaires</t>
  </si>
  <si>
    <t>Réhabilitation</t>
  </si>
  <si>
    <t>Investisseur</t>
  </si>
  <si>
    <t>Idem</t>
  </si>
  <si>
    <t>Exonération</t>
  </si>
  <si>
    <t>Taux de droit commun réduit de 10 points</t>
  </si>
  <si>
    <t>Taux de droit commun</t>
  </si>
  <si>
    <t>Exonération pendant 7 ans ou moitié de la durée d'exploitation</t>
  </si>
  <si>
    <t>Patente, TPA, TBM</t>
  </si>
  <si>
    <t>Droits et taxes de douanes</t>
  </si>
  <si>
    <t>Mine</t>
  </si>
  <si>
    <t>HOUNDE</t>
  </si>
  <si>
    <t>ENDEAVOUR MINING</t>
  </si>
  <si>
    <t>Date d'octroi du permis d'exploitation</t>
  </si>
  <si>
    <t>Date de signature de la convention</t>
  </si>
  <si>
    <t>Début probable de la production</t>
  </si>
  <si>
    <t>21 mois la signature de la convention</t>
  </si>
  <si>
    <t>Durée d'exploitation</t>
  </si>
  <si>
    <t>23,2 km2</t>
  </si>
  <si>
    <t>Teneur moyenne en g/t</t>
  </si>
  <si>
    <t>Produtction en koz</t>
  </si>
  <si>
    <t>Code Minier_2003</t>
  </si>
  <si>
    <t>Code Minier_2015</t>
  </si>
  <si>
    <t>Droit Commun</t>
  </si>
  <si>
    <t>Etat</t>
  </si>
  <si>
    <t>Endeavour Mining</t>
  </si>
  <si>
    <t>Guinée 2011</t>
  </si>
  <si>
    <t>Cash flow avant impôt</t>
  </si>
  <si>
    <t>Cash flow après impôt</t>
  </si>
  <si>
    <t>Composition du TEMI</t>
  </si>
  <si>
    <t>Impôts sur les sociétés (IS/IMF)</t>
  </si>
  <si>
    <t>Redevance superficiaire</t>
  </si>
  <si>
    <t>Montant total</t>
  </si>
  <si>
    <t>Prix de l'or</t>
  </si>
  <si>
    <t>TEMI_CM 2003</t>
  </si>
  <si>
    <t>TEMI_CM 2015</t>
  </si>
  <si>
    <t>Année</t>
  </si>
  <si>
    <t>Coût de production</t>
  </si>
  <si>
    <t>Profit de l'investisseur</t>
  </si>
  <si>
    <t>Revenu de l'Etat</t>
  </si>
  <si>
    <t>Investissement</t>
  </si>
  <si>
    <t>Coût de rehabilitation</t>
  </si>
  <si>
    <t>Recettes totales</t>
  </si>
  <si>
    <t>Redevance proportionnelles</t>
  </si>
  <si>
    <t>Fonds de développement local (1%)</t>
  </si>
  <si>
    <t>Fonds de développement local total</t>
  </si>
  <si>
    <t>Etat central</t>
  </si>
  <si>
    <t>Tri avant impôt</t>
  </si>
  <si>
    <t>Tri après impôt_CM 2003</t>
  </si>
  <si>
    <t>Tri après impôt_CM 2015</t>
  </si>
  <si>
    <t>Flux net de trésorerie avant impôt</t>
  </si>
  <si>
    <t>Synthèse de l'évaluation du système fiscal</t>
  </si>
  <si>
    <t>Critères</t>
  </si>
  <si>
    <t>Niveau</t>
  </si>
  <si>
    <t>Acteur concerné</t>
  </si>
  <si>
    <t>Efficacité</t>
  </si>
  <si>
    <t>Progessivité</t>
  </si>
  <si>
    <t>Transparence</t>
  </si>
  <si>
    <t>Partage de risque</t>
  </si>
  <si>
    <t>Développement local</t>
  </si>
  <si>
    <t>Environnement</t>
  </si>
  <si>
    <t>Génération futures</t>
  </si>
  <si>
    <t>Lutte optimisation</t>
  </si>
  <si>
    <t>Neutralité</t>
  </si>
  <si>
    <t>11 ans</t>
  </si>
  <si>
    <t>Projet aurifère_De Houndé</t>
  </si>
  <si>
    <t>Elasticité du TEMI par rapport au TRI</t>
  </si>
  <si>
    <t>Total des charges d'amortissements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</si>
</sst>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rgb="FF104258"/>
      <name val="Arial"/>
      <family val="2"/>
    </font>
    <font>
      <sz val="9"/>
      <color rgb="FF104258"/>
      <name val="Arial"/>
      <family val="2"/>
    </font>
    <font>
      <sz val="9"/>
      <color theme="0"/>
      <name val="Arial"/>
      <family val="2"/>
    </font>
    <font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0"/>
      <name val="Times New Roman"/>
      <family val="1"/>
    </font>
    <font>
      <sz val="11"/>
      <color rgb="FFC00000"/>
      <name val="Times New Roman"/>
      <family val="1"/>
    </font>
    <font>
      <sz val="11"/>
      <color rgb="FFFFC000"/>
      <name val="Times New Roman"/>
      <family val="1"/>
    </font>
    <font>
      <sz val="11"/>
      <color rgb="FFC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E3A72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0" applyFont="1"/>
    <xf numFmtId="0" fontId="3" fillId="0" borderId="5" xfId="0" applyFont="1" applyBorder="1"/>
    <xf numFmtId="10" fontId="3" fillId="3" borderId="5" xfId="2" applyNumberFormat="1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4" fillId="0" borderId="5" xfId="0" applyFont="1" applyBorder="1"/>
    <xf numFmtId="166" fontId="3" fillId="0" borderId="5" xfId="1" applyNumberFormat="1" applyFont="1" applyFill="1" applyBorder="1"/>
    <xf numFmtId="9" fontId="0" fillId="0" borderId="0" xfId="2" applyFont="1"/>
    <xf numFmtId="164" fontId="5" fillId="5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164" fontId="6" fillId="0" borderId="0" xfId="1" applyNumberFormat="1" applyFont="1" applyAlignment="1">
      <alignment horizontal="left" vertical="top"/>
    </xf>
    <xf numFmtId="164" fontId="7" fillId="0" borderId="0" xfId="1" applyNumberFormat="1" applyFont="1" applyAlignment="1">
      <alignment horizontal="left" vertical="top"/>
    </xf>
    <xf numFmtId="164" fontId="8" fillId="0" borderId="0" xfId="1" applyNumberFormat="1" applyFont="1" applyAlignment="1">
      <alignment horizontal="left" vertical="top"/>
    </xf>
    <xf numFmtId="164" fontId="9" fillId="5" borderId="0" xfId="1" applyNumberFormat="1" applyFont="1" applyFill="1" applyAlignment="1">
      <alignment horizontal="right" vertical="top"/>
    </xf>
    <xf numFmtId="164" fontId="7" fillId="6" borderId="0" xfId="1" applyNumberFormat="1" applyFont="1" applyFill="1" applyAlignment="1">
      <alignment horizontal="left" vertical="top"/>
    </xf>
    <xf numFmtId="164" fontId="8" fillId="6" borderId="0" xfId="1" applyNumberFormat="1" applyFont="1" applyFill="1" applyAlignment="1">
      <alignment horizontal="left" vertical="top"/>
    </xf>
    <xf numFmtId="164" fontId="9" fillId="7" borderId="0" xfId="1" applyNumberFormat="1" applyFont="1" applyFill="1" applyAlignment="1">
      <alignment horizontal="right" vertical="top"/>
    </xf>
    <xf numFmtId="10" fontId="0" fillId="0" borderId="0" xfId="2" applyNumberFormat="1" applyFont="1"/>
    <xf numFmtId="9" fontId="0" fillId="0" borderId="0" xfId="0" applyNumberFormat="1"/>
    <xf numFmtId="0" fontId="0" fillId="0" borderId="5" xfId="0" applyBorder="1"/>
    <xf numFmtId="164" fontId="0" fillId="0" borderId="5" xfId="1" applyNumberFormat="1" applyFont="1" applyBorder="1"/>
    <xf numFmtId="164" fontId="0" fillId="2" borderId="5" xfId="1" applyNumberFormat="1" applyFont="1" applyFill="1" applyBorder="1"/>
    <xf numFmtId="9" fontId="0" fillId="0" borderId="5" xfId="2" applyFont="1" applyBorder="1"/>
    <xf numFmtId="9" fontId="3" fillId="0" borderId="5" xfId="2" applyFont="1" applyFill="1" applyBorder="1"/>
    <xf numFmtId="9" fontId="0" fillId="2" borderId="5" xfId="2" applyFont="1" applyFill="1" applyBorder="1"/>
    <xf numFmtId="164" fontId="3" fillId="0" borderId="5" xfId="1" applyNumberFormat="1" applyFont="1" applyFill="1" applyBorder="1"/>
    <xf numFmtId="9" fontId="0" fillId="2" borderId="5" xfId="0" applyNumberFormat="1" applyFill="1" applyBorder="1"/>
    <xf numFmtId="10" fontId="0" fillId="2" borderId="5" xfId="0" applyNumberFormat="1" applyFill="1" applyBorder="1"/>
    <xf numFmtId="167" fontId="3" fillId="0" borderId="5" xfId="2" applyNumberFormat="1" applyFont="1" applyBorder="1"/>
    <xf numFmtId="10" fontId="3" fillId="0" borderId="5" xfId="2" applyNumberFormat="1" applyFont="1" applyBorder="1"/>
    <xf numFmtId="0" fontId="3" fillId="0" borderId="0" xfId="0" applyFont="1" applyAlignment="1">
      <alignment horizontal="right"/>
    </xf>
    <xf numFmtId="43" fontId="3" fillId="0" borderId="0" xfId="0" applyNumberFormat="1" applyFont="1"/>
    <xf numFmtId="10" fontId="3" fillId="0" borderId="0" xfId="2" applyNumberFormat="1" applyFont="1"/>
    <xf numFmtId="0" fontId="0" fillId="0" borderId="0" xfId="0" applyAlignment="1">
      <alignment horizontal="right"/>
    </xf>
    <xf numFmtId="164" fontId="0" fillId="0" borderId="0" xfId="1" applyNumberFormat="1" applyFont="1" applyFill="1"/>
    <xf numFmtId="10" fontId="0" fillId="0" borderId="0" xfId="0" applyNumberFormat="1"/>
    <xf numFmtId="0" fontId="2" fillId="0" borderId="0" xfId="0" applyFont="1" applyAlignment="1">
      <alignment horizontal="right"/>
    </xf>
    <xf numFmtId="3" fontId="0" fillId="0" borderId="0" xfId="0" applyNumberFormat="1"/>
    <xf numFmtId="8" fontId="0" fillId="0" borderId="0" xfId="0" applyNumberFormat="1"/>
    <xf numFmtId="43" fontId="0" fillId="0" borderId="0" xfId="1" applyFont="1" applyFill="1"/>
    <xf numFmtId="164" fontId="0" fillId="0" borderId="0" xfId="0" applyNumberFormat="1"/>
    <xf numFmtId="165" fontId="0" fillId="0" borderId="0" xfId="0" applyNumberFormat="1"/>
    <xf numFmtId="164" fontId="3" fillId="0" borderId="1" xfId="1" applyNumberFormat="1" applyFont="1" applyFill="1" applyBorder="1"/>
    <xf numFmtId="164" fontId="3" fillId="0" borderId="2" xfId="1" applyNumberFormat="1" applyFont="1" applyFill="1" applyBorder="1"/>
    <xf numFmtId="10" fontId="0" fillId="0" borderId="0" xfId="2" applyNumberFormat="1" applyFont="1" applyFill="1"/>
    <xf numFmtId="9" fontId="0" fillId="0" borderId="0" xfId="2" applyFont="1" applyFill="1"/>
    <xf numFmtId="167" fontId="0" fillId="0" borderId="0" xfId="2" applyNumberFormat="1" applyFont="1" applyFill="1"/>
    <xf numFmtId="8" fontId="0" fillId="0" borderId="0" xfId="1" applyNumberFormat="1" applyFont="1" applyFill="1"/>
    <xf numFmtId="10" fontId="0" fillId="0" borderId="0" xfId="1" applyNumberFormat="1" applyFont="1" applyFill="1"/>
    <xf numFmtId="9" fontId="0" fillId="0" borderId="0" xfId="1" applyNumberFormat="1" applyFont="1" applyFill="1"/>
    <xf numFmtId="164" fontId="0" fillId="0" borderId="0" xfId="0" applyNumberFormat="1" applyAlignment="1">
      <alignment horizontal="right"/>
    </xf>
    <xf numFmtId="9" fontId="0" fillId="0" borderId="0" xfId="2" applyFont="1" applyAlignment="1">
      <alignment horizontal="right"/>
    </xf>
    <xf numFmtId="0" fontId="12" fillId="8" borderId="5" xfId="0" applyFont="1" applyFill="1" applyBorder="1"/>
    <xf numFmtId="0" fontId="4" fillId="9" borderId="5" xfId="0" applyFont="1" applyFill="1" applyBorder="1"/>
    <xf numFmtId="164" fontId="0" fillId="9" borderId="5" xfId="1" applyNumberFormat="1" applyFont="1" applyFill="1" applyBorder="1"/>
    <xf numFmtId="9" fontId="0" fillId="9" borderId="5" xfId="0" applyNumberFormat="1" applyFill="1" applyBorder="1"/>
    <xf numFmtId="0" fontId="3" fillId="9" borderId="5" xfId="0" applyFont="1" applyFill="1" applyBorder="1"/>
    <xf numFmtId="164" fontId="3" fillId="9" borderId="5" xfId="1" applyNumberFormat="1" applyFont="1" applyFill="1" applyBorder="1"/>
    <xf numFmtId="10" fontId="0" fillId="9" borderId="5" xfId="0" applyNumberFormat="1" applyFill="1" applyBorder="1"/>
    <xf numFmtId="9" fontId="3" fillId="9" borderId="5" xfId="2" applyFont="1" applyFill="1" applyBorder="1"/>
    <xf numFmtId="9" fontId="0" fillId="9" borderId="5" xfId="2" applyFont="1" applyFill="1" applyBorder="1"/>
    <xf numFmtId="0" fontId="10" fillId="10" borderId="0" xfId="0" applyFont="1" applyFill="1"/>
    <xf numFmtId="0" fontId="0" fillId="10" borderId="0" xfId="0" applyFill="1"/>
    <xf numFmtId="0" fontId="6" fillId="10" borderId="0" xfId="0" applyFont="1" applyFill="1" applyAlignment="1">
      <alignment horizontal="left" vertical="top"/>
    </xf>
    <xf numFmtId="164" fontId="3" fillId="10" borderId="1" xfId="1" applyNumberFormat="1" applyFont="1" applyFill="1" applyBorder="1"/>
    <xf numFmtId="164" fontId="3" fillId="10" borderId="2" xfId="1" applyNumberFormat="1" applyFont="1" applyFill="1" applyBorder="1"/>
    <xf numFmtId="0" fontId="0" fillId="11" borderId="0" xfId="0" applyFill="1"/>
    <xf numFmtId="10" fontId="3" fillId="0" borderId="5" xfId="2" applyNumberFormat="1" applyFont="1" applyFill="1" applyBorder="1"/>
    <xf numFmtId="0" fontId="3" fillId="0" borderId="5" xfId="0" applyFont="1" applyBorder="1" applyAlignment="1">
      <alignment horizontal="center" vertical="center"/>
    </xf>
    <xf numFmtId="0" fontId="13" fillId="12" borderId="5" xfId="0" applyFont="1" applyFill="1" applyBorder="1"/>
    <xf numFmtId="0" fontId="14" fillId="4" borderId="5" xfId="0" applyFont="1" applyFill="1" applyBorder="1"/>
    <xf numFmtId="0" fontId="3" fillId="12" borderId="5" xfId="0" applyFont="1" applyFill="1" applyBorder="1"/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64" fontId="0" fillId="0" borderId="9" xfId="1" applyNumberFormat="1" applyFont="1" applyFill="1" applyBorder="1" applyAlignment="1"/>
    <xf numFmtId="0" fontId="10" fillId="13" borderId="0" xfId="0" applyFont="1" applyFill="1"/>
    <xf numFmtId="0" fontId="0" fillId="13" borderId="0" xfId="0" applyFill="1"/>
    <xf numFmtId="0" fontId="6" fillId="13" borderId="0" xfId="0" applyFont="1" applyFill="1" applyAlignment="1">
      <alignment horizontal="left" vertical="top"/>
    </xf>
    <xf numFmtId="164" fontId="3" fillId="13" borderId="1" xfId="1" applyNumberFormat="1" applyFont="1" applyFill="1" applyBorder="1"/>
    <xf numFmtId="164" fontId="3" fillId="13" borderId="2" xfId="1" applyNumberFormat="1" applyFont="1" applyFill="1" applyBorder="1"/>
    <xf numFmtId="43" fontId="0" fillId="13" borderId="0" xfId="1" applyFont="1" applyFill="1"/>
    <xf numFmtId="0" fontId="0" fillId="14" borderId="5" xfId="0" applyFill="1" applyBorder="1"/>
    <xf numFmtId="164" fontId="0" fillId="14" borderId="5" xfId="1" applyNumberFormat="1" applyFont="1" applyFill="1" applyBorder="1"/>
    <xf numFmtId="10" fontId="0" fillId="14" borderId="5" xfId="0" applyNumberFormat="1" applyFill="1" applyBorder="1"/>
    <xf numFmtId="9" fontId="0" fillId="14" borderId="5" xfId="0" applyNumberFormat="1" applyFill="1" applyBorder="1"/>
    <xf numFmtId="0" fontId="2" fillId="15" borderId="5" xfId="0" applyFont="1" applyFill="1" applyBorder="1"/>
    <xf numFmtId="164" fontId="2" fillId="15" borderId="5" xfId="1" applyNumberFormat="1" applyFont="1" applyFill="1" applyBorder="1"/>
    <xf numFmtId="0" fontId="3" fillId="0" borderId="4" xfId="0" applyFont="1" applyBorder="1"/>
    <xf numFmtId="10" fontId="3" fillId="0" borderId="5" xfId="0" applyNumberFormat="1" applyFont="1" applyBorder="1"/>
    <xf numFmtId="9" fontId="3" fillId="0" borderId="5" xfId="0" applyNumberFormat="1" applyFont="1" applyBorder="1"/>
    <xf numFmtId="0" fontId="3" fillId="13" borderId="0" xfId="0" applyFont="1" applyFill="1"/>
    <xf numFmtId="0" fontId="3" fillId="13" borderId="3" xfId="0" applyFont="1" applyFill="1" applyBorder="1"/>
    <xf numFmtId="0" fontId="3" fillId="13" borderId="5" xfId="0" applyFont="1" applyFill="1" applyBorder="1"/>
    <xf numFmtId="0" fontId="4" fillId="13" borderId="5" xfId="0" applyFont="1" applyFill="1" applyBorder="1"/>
    <xf numFmtId="164" fontId="15" fillId="0" borderId="0" xfId="1" applyNumberFormat="1" applyFont="1"/>
    <xf numFmtId="43" fontId="3" fillId="0" borderId="6" xfId="1" applyFont="1" applyFill="1" applyBorder="1" applyAlignment="1">
      <alignment horizontal="center" vertical="center"/>
    </xf>
    <xf numFmtId="43" fontId="3" fillId="0" borderId="7" xfId="1" applyFont="1" applyFill="1" applyBorder="1" applyAlignment="1">
      <alignment horizontal="center" vertical="center"/>
    </xf>
    <xf numFmtId="43" fontId="3" fillId="0" borderId="8" xfId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Partage de la rente et comparaison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Graphique!$B$6</c:f>
              <c:strCache>
                <c:ptCount val="1"/>
                <c:pt idx="0">
                  <c:v>Etat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Graphique!$C$5:$F$5</c:f>
              <c:strCache>
                <c:ptCount val="4"/>
                <c:pt idx="0">
                  <c:v>Code Minier_2003</c:v>
                </c:pt>
                <c:pt idx="1">
                  <c:v>Code Minier_2015</c:v>
                </c:pt>
                <c:pt idx="2">
                  <c:v>Droit Commun</c:v>
                </c:pt>
                <c:pt idx="3">
                  <c:v>Guinée 2011</c:v>
                </c:pt>
              </c:strCache>
            </c:strRef>
          </c:cat>
          <c:val>
            <c:numRef>
              <c:f>Graphique!$C$6:$F$6</c:f>
              <c:numCache>
                <c:formatCode>0.00%</c:formatCode>
                <c:ptCount val="4"/>
                <c:pt idx="0">
                  <c:v>0.49379191479109763</c:v>
                </c:pt>
                <c:pt idx="1">
                  <c:v>0.60766342524003847</c:v>
                </c:pt>
                <c:pt idx="2">
                  <c:v>0.67665691540985873</c:v>
                </c:pt>
                <c:pt idx="3">
                  <c:v>0.66462504235770581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4-4ED0-9E7B-1E3211F78A66}"/>
            </c:ext>
          </c:extLst>
        </c:ser>
        <c:ser>
          <c:idx val="1"/>
          <c:order val="1"/>
          <c:tx>
            <c:strRef>
              <c:f>Graphique!$B$7</c:f>
              <c:strCache>
                <c:ptCount val="1"/>
                <c:pt idx="0">
                  <c:v>Endeavour Mining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Graphique!$C$5:$F$5</c:f>
              <c:strCache>
                <c:ptCount val="4"/>
                <c:pt idx="0">
                  <c:v>Code Minier_2003</c:v>
                </c:pt>
                <c:pt idx="1">
                  <c:v>Code Minier_2015</c:v>
                </c:pt>
                <c:pt idx="2">
                  <c:v>Droit Commun</c:v>
                </c:pt>
                <c:pt idx="3">
                  <c:v>Guinée 2011</c:v>
                </c:pt>
              </c:strCache>
            </c:strRef>
          </c:cat>
          <c:val>
            <c:numRef>
              <c:f>Graphique!$C$7:$F$7</c:f>
              <c:numCache>
                <c:formatCode>0.00%</c:formatCode>
                <c:ptCount val="4"/>
                <c:pt idx="0">
                  <c:v>0.50620808520890237</c:v>
                </c:pt>
                <c:pt idx="1">
                  <c:v>0.39233657475996153</c:v>
                </c:pt>
                <c:pt idx="2">
                  <c:v>0.32334308459014127</c:v>
                </c:pt>
                <c:pt idx="3">
                  <c:v>0.33537495764229419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44-4ED0-9E7B-1E3211F78A6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94190079"/>
        <c:axId val="908071775"/>
      </c:barChart>
      <c:catAx>
        <c:axId val="159419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8071775"/>
        <c:crosses val="autoZero"/>
        <c:auto val="1"/>
        <c:lblAlgn val="ctr"/>
        <c:lblOffset val="100"/>
        <c:noMultiLvlLbl val="0"/>
      </c:catAx>
      <c:valAx>
        <c:axId val="90807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419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900"/>
              <a:t>Composition</a:t>
            </a:r>
            <a:r>
              <a:rPr lang="fr-FR" sz="900" baseline="0"/>
              <a:t> du TEmi Cm 2003</a:t>
            </a:r>
            <a:endParaRPr lang="fr-FR" sz="900"/>
          </a:p>
        </c:rich>
      </c:tx>
      <c:layout>
        <c:manualLayout>
          <c:xMode val="edge"/>
          <c:yMode val="edge"/>
          <c:x val="0.3662493043962158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7775360508984792"/>
          <c:y val="0.25018517942174223"/>
          <c:w val="0.44449278982030416"/>
          <c:h val="0.7015841399271731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D2-42DB-A0EF-7F7E0D56393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7D2-42DB-A0EF-7F7E0D56393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D2-42DB-A0EF-7F7E0D56393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7D2-42DB-A0EF-7F7E0D56393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7D2-42DB-A0EF-7F7E0D563937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7D2-42DB-A0EF-7F7E0D56393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7D2-42DB-A0EF-7F7E0D563937}"/>
                </c:ext>
              </c:extLst>
            </c:dLbl>
            <c:dLbl>
              <c:idx val="1"/>
              <c:layout>
                <c:manualLayout>
                  <c:x val="9.7384529771841963E-2"/>
                  <c:y val="5.27009222661396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D2-42DB-A0EF-7F7E0D56393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7D2-42DB-A0EF-7F7E0D563937}"/>
                </c:ext>
              </c:extLst>
            </c:dLbl>
            <c:dLbl>
              <c:idx val="3"/>
              <c:layout>
                <c:manualLayout>
                  <c:x val="-7.790762381747357E-2"/>
                  <c:y val="-0.101010101010100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7D2-42DB-A0EF-7F7E0D56393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7D2-42DB-A0EF-7F7E0D56393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F7D2-42DB-A0EF-7F7E0D56393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Graphique!$B$31:$B$36</c:f>
              <c:strCache>
                <c:ptCount val="6"/>
                <c:pt idx="0">
                  <c:v>Redevance superficiaire</c:v>
                </c:pt>
                <c:pt idx="1">
                  <c:v>Droits fixes</c:v>
                </c:pt>
                <c:pt idx="2">
                  <c:v>Impôts sur les sociétés (IS/IMF)</c:v>
                </c:pt>
                <c:pt idx="3">
                  <c:v>Redevance proportionnelle</c:v>
                </c:pt>
                <c:pt idx="4">
                  <c:v>Dividende de l'Etat</c:v>
                </c:pt>
                <c:pt idx="5">
                  <c:v>Impôt sur les dividendes</c:v>
                </c:pt>
              </c:strCache>
            </c:strRef>
          </c:cat>
          <c:val>
            <c:numRef>
              <c:f>Graphique!$C$31:$C$36</c:f>
              <c:numCache>
                <c:formatCode>0.00%</c:formatCode>
                <c:ptCount val="6"/>
                <c:pt idx="0">
                  <c:v>8.7984767519071767E-3</c:v>
                </c:pt>
                <c:pt idx="1">
                  <c:v>1.8499740857668582E-5</c:v>
                </c:pt>
                <c:pt idx="2">
                  <c:v>0.62780271961698553</c:v>
                </c:pt>
                <c:pt idx="3">
                  <c:v>0.18120540757282091</c:v>
                </c:pt>
                <c:pt idx="4">
                  <c:v>0.11659193364315447</c:v>
                </c:pt>
                <c:pt idx="5">
                  <c:v>6.5582962674274367E-2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2-42DB-A0EF-7F7E0D56393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du TEMI et cours de l'or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Graphique!$B$43</c:f>
              <c:strCache>
                <c:ptCount val="1"/>
                <c:pt idx="0">
                  <c:v>Prix de l'or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Graphique!$C$43:$E$43</c:f>
              <c:numCache>
                <c:formatCode>General</c:formatCode>
                <c:ptCount val="3"/>
                <c:pt idx="0">
                  <c:v>1100</c:v>
                </c:pt>
                <c:pt idx="1">
                  <c:v>1300</c:v>
                </c:pt>
                <c:pt idx="2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E-4559-B887-7E1211119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433805375"/>
        <c:axId val="1474187103"/>
      </c:barChart>
      <c:lineChart>
        <c:grouping val="standard"/>
        <c:varyColors val="0"/>
        <c:ser>
          <c:idx val="1"/>
          <c:order val="1"/>
          <c:tx>
            <c:strRef>
              <c:f>Graphique!$B$44</c:f>
              <c:strCache>
                <c:ptCount val="1"/>
                <c:pt idx="0">
                  <c:v>TEMI_CM 2003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Graphique!$C$44:$E$44</c:f>
              <c:numCache>
                <c:formatCode>0%</c:formatCode>
                <c:ptCount val="3"/>
                <c:pt idx="0">
                  <c:v>0.81343486431906831</c:v>
                </c:pt>
                <c:pt idx="1">
                  <c:v>0.49379191479109763</c:v>
                </c:pt>
                <c:pt idx="2">
                  <c:v>0.41493616586098492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1E-4559-B887-7E1211119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805855"/>
        <c:axId val="1474184127"/>
      </c:lineChart>
      <c:catAx>
        <c:axId val="143380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4187103"/>
        <c:crosses val="autoZero"/>
        <c:auto val="1"/>
        <c:lblAlgn val="ctr"/>
        <c:lblOffset val="100"/>
        <c:noMultiLvlLbl val="0"/>
      </c:catAx>
      <c:valAx>
        <c:axId val="147418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3805375"/>
        <c:crosses val="autoZero"/>
        <c:crossBetween val="between"/>
      </c:valAx>
      <c:valAx>
        <c:axId val="1474184127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3805855"/>
        <c:crosses val="max"/>
        <c:crossBetween val="between"/>
      </c:valAx>
      <c:catAx>
        <c:axId val="1433805855"/>
        <c:scaling>
          <c:orientation val="minMax"/>
        </c:scaling>
        <c:delete val="1"/>
        <c:axPos val="b"/>
        <c:majorTickMark val="none"/>
        <c:minorTickMark val="none"/>
        <c:tickLblPos val="nextTo"/>
        <c:crossAx val="1474184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du cours</a:t>
            </a:r>
            <a:r>
              <a:rPr lang="en-US" baseline="0"/>
              <a:t> du TEMI et ours de l'or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Graphique!$B$47</c:f>
              <c:strCache>
                <c:ptCount val="1"/>
                <c:pt idx="0">
                  <c:v>Prix de l'or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Graphique!$C$47:$E$47</c:f>
              <c:numCache>
                <c:formatCode>General</c:formatCode>
                <c:ptCount val="3"/>
                <c:pt idx="0">
                  <c:v>1100</c:v>
                </c:pt>
                <c:pt idx="1">
                  <c:v>1300</c:v>
                </c:pt>
                <c:pt idx="2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C-4F38-A3ED-F40ECD40F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808255"/>
        <c:axId val="1615450127"/>
      </c:barChart>
      <c:lineChart>
        <c:grouping val="standard"/>
        <c:varyColors val="0"/>
        <c:ser>
          <c:idx val="1"/>
          <c:order val="1"/>
          <c:tx>
            <c:strRef>
              <c:f>Graphique!$B$48</c:f>
              <c:strCache>
                <c:ptCount val="1"/>
                <c:pt idx="0">
                  <c:v>TEMI_CM 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Graphique!$C$48:$E$48</c:f>
              <c:numCache>
                <c:formatCode>0%</c:formatCode>
                <c:ptCount val="3"/>
                <c:pt idx="0">
                  <c:v>0.98881003599473793</c:v>
                </c:pt>
                <c:pt idx="1">
                  <c:v>0.60766342524003847</c:v>
                </c:pt>
                <c:pt idx="2">
                  <c:v>0.51578800682517145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C-4F38-A3ED-F40ECD40F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3808735"/>
        <c:axId val="1615438719"/>
      </c:lineChart>
      <c:catAx>
        <c:axId val="143380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5450127"/>
        <c:crosses val="autoZero"/>
        <c:auto val="1"/>
        <c:lblAlgn val="ctr"/>
        <c:lblOffset val="100"/>
        <c:noMultiLvlLbl val="0"/>
      </c:catAx>
      <c:valAx>
        <c:axId val="161545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3808255"/>
        <c:crosses val="autoZero"/>
        <c:crossBetween val="between"/>
      </c:valAx>
      <c:valAx>
        <c:axId val="1615438719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3808735"/>
        <c:crosses val="max"/>
        <c:crossBetween val="between"/>
      </c:valAx>
      <c:catAx>
        <c:axId val="1433808735"/>
        <c:scaling>
          <c:orientation val="minMax"/>
        </c:scaling>
        <c:delete val="1"/>
        <c:axPos val="b"/>
        <c:majorTickMark val="none"/>
        <c:minorTickMark val="none"/>
        <c:tickLblPos val="nextTo"/>
        <c:crossAx val="1615438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Code Minier_2003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213670166229222"/>
          <c:y val="0.12745370370370374"/>
          <c:w val="0.85341885389326333"/>
          <c:h val="0.7095913531641877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Graphique!$B$6:$B$7</c:f>
              <c:strCache>
                <c:ptCount val="2"/>
                <c:pt idx="0">
                  <c:v>Etat</c:v>
                </c:pt>
                <c:pt idx="1">
                  <c:v>Endeavour Mining</c:v>
                </c:pt>
              </c:strCache>
            </c:strRef>
          </c:cat>
          <c:val>
            <c:numRef>
              <c:f>Graphique!$C$6:$C$7</c:f>
              <c:numCache>
                <c:formatCode>0.00%</c:formatCode>
                <c:ptCount val="2"/>
                <c:pt idx="0">
                  <c:v>0.49379191479109763</c:v>
                </c:pt>
                <c:pt idx="1">
                  <c:v>0.50620808520890237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8-41C7-9002-2C1582F922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23369935"/>
        <c:axId val="1227849791"/>
      </c:barChart>
      <c:catAx>
        <c:axId val="122336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7849791"/>
        <c:crosses val="autoZero"/>
        <c:auto val="1"/>
        <c:lblAlgn val="ctr"/>
        <c:lblOffset val="100"/>
        <c:noMultiLvlLbl val="0"/>
      </c:catAx>
      <c:valAx>
        <c:axId val="12278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336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Graphique!$C$63</c:f>
              <c:strCache>
                <c:ptCount val="1"/>
                <c:pt idx="0">
                  <c:v>Profit de l'investisseur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Graphique!$D$63:$N$63</c:f>
              <c:numCache>
                <c:formatCode>General</c:formatCode>
                <c:ptCount val="11"/>
                <c:pt idx="2">
                  <c:v>62503669.050199881</c:v>
                </c:pt>
                <c:pt idx="3">
                  <c:v>88053201.86029987</c:v>
                </c:pt>
                <c:pt idx="4">
                  <c:v>55955953.473199867</c:v>
                </c:pt>
                <c:pt idx="5">
                  <c:v>33188013.124726515</c:v>
                </c:pt>
                <c:pt idx="6">
                  <c:v>79861929.155806512</c:v>
                </c:pt>
                <c:pt idx="7">
                  <c:v>56454444.553486504</c:v>
                </c:pt>
                <c:pt idx="8">
                  <c:v>43168178.328826502</c:v>
                </c:pt>
                <c:pt idx="9">
                  <c:v>66001674.205966502</c:v>
                </c:pt>
                <c:pt idx="10">
                  <c:v>90071426.266719759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4-434B-A4DB-ADA088E3DE9B}"/>
            </c:ext>
          </c:extLst>
        </c:ser>
        <c:ser>
          <c:idx val="1"/>
          <c:order val="1"/>
          <c:tx>
            <c:strRef>
              <c:f>Graphique!$C$62</c:f>
              <c:strCache>
                <c:ptCount val="1"/>
                <c:pt idx="0">
                  <c:v>Revenu de l'Etat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Graphique!$D$62:$N$62</c:f>
              <c:numCache>
                <c:formatCode>General</c:formatCode>
                <c:ptCount val="11"/>
                <c:pt idx="0">
                  <c:v>363078.63502311282</c:v>
                </c:pt>
                <c:pt idx="1">
                  <c:v>352936.77370961802</c:v>
                </c:pt>
                <c:pt idx="2">
                  <c:v>60834889.757437617</c:v>
                </c:pt>
                <c:pt idx="3">
                  <c:v>82096585.80796887</c:v>
                </c:pt>
                <c:pt idx="4">
                  <c:v>55693080.910875112</c:v>
                </c:pt>
                <c:pt idx="5">
                  <c:v>36861266.42756892</c:v>
                </c:pt>
                <c:pt idx="6">
                  <c:v>75618285.99643141</c:v>
                </c:pt>
                <c:pt idx="7">
                  <c:v>54780664.619106412</c:v>
                </c:pt>
                <c:pt idx="8">
                  <c:v>42547309.008725159</c:v>
                </c:pt>
                <c:pt idx="9">
                  <c:v>61196459.507906407</c:v>
                </c:pt>
                <c:pt idx="10">
                  <c:v>77871841.45095025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4-434B-A4DB-ADA088E3DE9B}"/>
            </c:ext>
          </c:extLst>
        </c:ser>
        <c:ser>
          <c:idx val="2"/>
          <c:order val="2"/>
          <c:tx>
            <c:strRef>
              <c:f>Graphique!$C$64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Graphique!$D$64:$N$64</c:f>
              <c:numCache>
                <c:formatCode>General</c:formatCode>
                <c:ptCount val="11"/>
                <c:pt idx="0">
                  <c:v>-73445792</c:v>
                </c:pt>
                <c:pt idx="1">
                  <c:v>-241407817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4-434B-A4DB-ADA088E3DE9B}"/>
            </c:ext>
          </c:extLst>
        </c:ser>
        <c:ser>
          <c:idx val="3"/>
          <c:order val="3"/>
          <c:tx>
            <c:strRef>
              <c:f>Graphique!$C$65</c:f>
              <c:strCache>
                <c:ptCount val="1"/>
                <c:pt idx="0">
                  <c:v>Coût de production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Graphique!$D$65:$N$65</c:f>
              <c:numCache>
                <c:formatCode>General</c:formatCode>
                <c:ptCount val="11"/>
                <c:pt idx="2">
                  <c:v>131726755</c:v>
                </c:pt>
                <c:pt idx="3">
                  <c:v>138265198</c:v>
                </c:pt>
                <c:pt idx="4">
                  <c:v>152984462</c:v>
                </c:pt>
                <c:pt idx="5">
                  <c:v>163254867</c:v>
                </c:pt>
                <c:pt idx="6">
                  <c:v>164257657</c:v>
                </c:pt>
                <c:pt idx="7">
                  <c:v>140051404</c:v>
                </c:pt>
                <c:pt idx="8">
                  <c:v>114270273</c:v>
                </c:pt>
                <c:pt idx="9">
                  <c:v>101059316</c:v>
                </c:pt>
                <c:pt idx="10">
                  <c:v>13250952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4-434B-A4DB-ADA088E3DE9B}"/>
            </c:ext>
          </c:extLst>
        </c:ser>
        <c:ser>
          <c:idx val="4"/>
          <c:order val="4"/>
          <c:tx>
            <c:strRef>
              <c:f>Graphique!$C$66</c:f>
              <c:strCache>
                <c:ptCount val="1"/>
                <c:pt idx="0">
                  <c:v>Coût de rehabilitation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Graphique!$D$66:$N$66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4-5344-434B-A4DB-ADA088E3D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303839"/>
        <c:axId val="500925535"/>
      </c:areaChart>
      <c:catAx>
        <c:axId val="8373038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0925535"/>
        <c:crosses val="autoZero"/>
        <c:auto val="1"/>
        <c:lblAlgn val="ctr"/>
        <c:lblOffset val="100"/>
        <c:noMultiLvlLbl val="0"/>
      </c:catAx>
      <c:valAx>
        <c:axId val="50092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30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Cash-flow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4985892388451447"/>
          <c:y val="0.21718795567220761"/>
          <c:w val="0.76369663167104107"/>
          <c:h val="0.66016149023038784"/>
        </c:manualLayout>
      </c:layout>
      <c:areaChart>
        <c:grouping val="stacked"/>
        <c:varyColors val="0"/>
        <c:ser>
          <c:idx val="0"/>
          <c:order val="0"/>
          <c:tx>
            <c:strRef>
              <c:f>Graphique!$B$18</c:f>
              <c:strCache>
                <c:ptCount val="1"/>
                <c:pt idx="0">
                  <c:v>Cash flow avant impôt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Graphique!$C$17:$M$17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Graphique!$C$18:$M$18</c:f>
              <c:numCache>
                <c:formatCode>General</c:formatCode>
                <c:ptCount val="11"/>
                <c:pt idx="0">
                  <c:v>-73445.792000000001</c:v>
                </c:pt>
                <c:pt idx="1">
                  <c:v>-241407.81700000001</c:v>
                </c:pt>
                <c:pt idx="2">
                  <c:v>116802.045</c:v>
                </c:pt>
                <c:pt idx="3">
                  <c:v>141544.20199999999</c:v>
                </c:pt>
                <c:pt idx="4">
                  <c:v>93764.638000000006</c:v>
                </c:pt>
                <c:pt idx="5">
                  <c:v>55567.633000000002</c:v>
                </c:pt>
                <c:pt idx="6">
                  <c:v>110004.643</c:v>
                </c:pt>
                <c:pt idx="7">
                  <c:v>77958.596000000005</c:v>
                </c:pt>
                <c:pt idx="8">
                  <c:v>63568.427000000003</c:v>
                </c:pt>
                <c:pt idx="9">
                  <c:v>97578.084000000003</c:v>
                </c:pt>
                <c:pt idx="10">
                  <c:v>141930.04800000001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9-4741-9C1C-506EC82E66B5}"/>
            </c:ext>
          </c:extLst>
        </c:ser>
        <c:ser>
          <c:idx val="1"/>
          <c:order val="1"/>
          <c:tx>
            <c:strRef>
              <c:f>Graphique!$B$19</c:f>
              <c:strCache>
                <c:ptCount val="1"/>
                <c:pt idx="0">
                  <c:v>Cash flow après impôt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Graphique!$C$17:$M$17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</c:numCache>
            </c:numRef>
          </c:cat>
          <c:val>
            <c:numRef>
              <c:f>Graphique!$C$19:$M$19</c:f>
              <c:numCache>
                <c:formatCode>General</c:formatCode>
                <c:ptCount val="11"/>
                <c:pt idx="0">
                  <c:v>-73808.870635023122</c:v>
                </c:pt>
                <c:pt idx="1">
                  <c:v>-241760.75377370961</c:v>
                </c:pt>
                <c:pt idx="2">
                  <c:v>90770.113109559956</c:v>
                </c:pt>
                <c:pt idx="3">
                  <c:v>103094.14495773181</c:v>
                </c:pt>
                <c:pt idx="4">
                  <c:v>71085.596635966198</c:v>
                </c:pt>
                <c:pt idx="5">
                  <c:v>43835.69435631638</c:v>
                </c:pt>
                <c:pt idx="6">
                  <c:v>75540.703858760127</c:v>
                </c:pt>
                <c:pt idx="7">
                  <c:v>54117.592818672631</c:v>
                </c:pt>
                <c:pt idx="8">
                  <c:v>45531.852707925762</c:v>
                </c:pt>
                <c:pt idx="9">
                  <c:v>68247.921864272634</c:v>
                </c:pt>
                <c:pt idx="10">
                  <c:v>98672.880217332393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59-4741-9C1C-506EC82E6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177136"/>
        <c:axId val="1914206784"/>
      </c:areaChart>
      <c:catAx>
        <c:axId val="112717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4206784"/>
        <c:crosses val="autoZero"/>
        <c:auto val="1"/>
        <c:lblAlgn val="ctr"/>
        <c:lblOffset val="100"/>
        <c:noMultiLvlLbl val="0"/>
      </c:catAx>
      <c:valAx>
        <c:axId val="191420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Cash-flox (en milleirs)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7177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Part</a:t>
            </a:r>
            <a:r>
              <a:rPr lang="fr-FR" baseline="0"/>
              <a:t> de la rente capter par l'Etat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CD-4255-8322-A6D9DEA969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CD-4255-8322-A6D9DEA969A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Graphique!$B$89:$B$90</c:f>
              <c:strCache>
                <c:ptCount val="2"/>
                <c:pt idx="0">
                  <c:v>Fonds de développement local total</c:v>
                </c:pt>
                <c:pt idx="1">
                  <c:v>Etat central</c:v>
                </c:pt>
              </c:strCache>
            </c:strRef>
          </c:cat>
          <c:val>
            <c:numRef>
              <c:f>Graphique!$C$89:$C$90</c:f>
              <c:numCache>
                <c:formatCode>0.00%</c:formatCode>
                <c:ptCount val="2"/>
                <c:pt idx="0">
                  <c:v>0.11864226379403159</c:v>
                </c:pt>
                <c:pt idx="1">
                  <c:v>0.88135773620596836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E-465D-9ED3-4BBF040C62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Evolution du TrI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Graphique!$C$104</c:f>
              <c:strCache>
                <c:ptCount val="1"/>
                <c:pt idx="0">
                  <c:v>Tri avant impôt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Graphique!$D$104:$L$104</c:f>
              <c:numCache>
                <c:formatCode>0%</c:formatCode>
                <c:ptCount val="9"/>
                <c:pt idx="0">
                  <c:v>-0.39130880088172382</c:v>
                </c:pt>
                <c:pt idx="1">
                  <c:v>0.11243079110208098</c:v>
                </c:pt>
                <c:pt idx="2">
                  <c:v>0.27689970400013508</c:v>
                </c:pt>
                <c:pt idx="3">
                  <c:v>0.34079760300658513</c:v>
                </c:pt>
                <c:pt idx="4">
                  <c:v>0.40012658741461915</c:v>
                </c:pt>
                <c:pt idx="5">
                  <c:v>0.42540793881104033</c:v>
                </c:pt>
                <c:pt idx="6">
                  <c:v>0.43824982681485536</c:v>
                </c:pt>
                <c:pt idx="7">
                  <c:v>0.44942431685371487</c:v>
                </c:pt>
                <c:pt idx="8">
                  <c:v>0.45818507382926854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7-4B49-8AD4-7A99EB8A7DCB}"/>
            </c:ext>
          </c:extLst>
        </c:ser>
        <c:ser>
          <c:idx val="1"/>
          <c:order val="1"/>
          <c:tx>
            <c:strRef>
              <c:f>Graphique!$C$105</c:f>
              <c:strCache>
                <c:ptCount val="1"/>
                <c:pt idx="0">
                  <c:v>Tri après impôt_CM 2003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Graphique!$D$105:$L$105</c:f>
              <c:numCache>
                <c:formatCode>0%</c:formatCode>
                <c:ptCount val="9"/>
                <c:pt idx="1">
                  <c:v>-0.14925550203122595</c:v>
                </c:pt>
                <c:pt idx="2">
                  <c:v>2.4126629486718176E-2</c:v>
                </c:pt>
                <c:pt idx="3">
                  <c:v>0.10169092418588854</c:v>
                </c:pt>
                <c:pt idx="4">
                  <c:v>0.17018121739632086</c:v>
                </c:pt>
                <c:pt idx="5">
                  <c:v>0.20296263467627296</c:v>
                </c:pt>
                <c:pt idx="6">
                  <c:v>0.22211529997727708</c:v>
                </c:pt>
                <c:pt idx="7">
                  <c:v>0.2398636336929989</c:v>
                </c:pt>
                <c:pt idx="8">
                  <c:v>0.2547241970984051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57-4B49-8AD4-7A99EB8A7DCB}"/>
            </c:ext>
          </c:extLst>
        </c:ser>
        <c:ser>
          <c:idx val="2"/>
          <c:order val="2"/>
          <c:tx>
            <c:strRef>
              <c:f>Graphique!$C$106</c:f>
              <c:strCache>
                <c:ptCount val="1"/>
                <c:pt idx="0">
                  <c:v>Tri après impôt_CM 2015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Graphique!$D$106:$L$106</c:f>
              <c:numCache>
                <c:formatCode>0%</c:formatCode>
                <c:ptCount val="9"/>
                <c:pt idx="1">
                  <c:v>-0.27435600348244482</c:v>
                </c:pt>
                <c:pt idx="2">
                  <c:v>-0.10965259589526311</c:v>
                </c:pt>
                <c:pt idx="3">
                  <c:v>-3.798194866421345E-2</c:v>
                </c:pt>
                <c:pt idx="4">
                  <c:v>3.9866810787317908E-2</c:v>
                </c:pt>
                <c:pt idx="5">
                  <c:v>7.7305813904541498E-2</c:v>
                </c:pt>
                <c:pt idx="6">
                  <c:v>0.10075814030316699</c:v>
                </c:pt>
                <c:pt idx="7">
                  <c:v>0.1258743904305053</c:v>
                </c:pt>
                <c:pt idx="8">
                  <c:v>0.15060914785503532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57-4B49-8AD4-7A99EB8A7D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40120863"/>
        <c:axId val="1274466559"/>
      </c:lineChart>
      <c:catAx>
        <c:axId val="214012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4466559"/>
        <c:crosses val="autoZero"/>
        <c:auto val="1"/>
        <c:lblAlgn val="ctr"/>
        <c:lblOffset val="100"/>
        <c:noMultiLvlLbl val="0"/>
      </c:catAx>
      <c:valAx>
        <c:axId val="127446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012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Graphique!$C$61</c:f>
              <c:strCache>
                <c:ptCount val="1"/>
                <c:pt idx="0">
                  <c:v>Flux net de trésorerie avant impôt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Graphique!$D$61:$N$61</c:f>
              <c:numCache>
                <c:formatCode>#,##0</c:formatCode>
                <c:ptCount val="11"/>
                <c:pt idx="0">
                  <c:v>-73445792</c:v>
                </c:pt>
                <c:pt idx="1">
                  <c:v>-241407817</c:v>
                </c:pt>
                <c:pt idx="2">
                  <c:v>174154845</c:v>
                </c:pt>
                <c:pt idx="3">
                  <c:v>206115602</c:v>
                </c:pt>
                <c:pt idx="4">
                  <c:v>150706738</c:v>
                </c:pt>
                <c:pt idx="5">
                  <c:v>106065133</c:v>
                </c:pt>
                <c:pt idx="6">
                  <c:v>173295943</c:v>
                </c:pt>
                <c:pt idx="7">
                  <c:v>128268596</c:v>
                </c:pt>
                <c:pt idx="8">
                  <c:v>104608127</c:v>
                </c:pt>
                <c:pt idx="9">
                  <c:v>143417484</c:v>
                </c:pt>
                <c:pt idx="10">
                  <c:v>177741048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E-409B-93A9-B984134B812A}"/>
            </c:ext>
          </c:extLst>
        </c:ser>
        <c:ser>
          <c:idx val="1"/>
          <c:order val="1"/>
          <c:tx>
            <c:strRef>
              <c:f>Graphique!$C$62</c:f>
              <c:strCache>
                <c:ptCount val="1"/>
                <c:pt idx="0">
                  <c:v>Revenu de l'Etat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Graphique!$D$62:$N$62</c:f>
              <c:numCache>
                <c:formatCode>General</c:formatCode>
                <c:ptCount val="11"/>
                <c:pt idx="0">
                  <c:v>363078.63502311282</c:v>
                </c:pt>
                <c:pt idx="1">
                  <c:v>352936.77370961802</c:v>
                </c:pt>
                <c:pt idx="2">
                  <c:v>60834889.757437617</c:v>
                </c:pt>
                <c:pt idx="3">
                  <c:v>82096585.80796887</c:v>
                </c:pt>
                <c:pt idx="4">
                  <c:v>55693080.910875112</c:v>
                </c:pt>
                <c:pt idx="5">
                  <c:v>36861266.42756892</c:v>
                </c:pt>
                <c:pt idx="6">
                  <c:v>75618285.99643141</c:v>
                </c:pt>
                <c:pt idx="7">
                  <c:v>54780664.619106412</c:v>
                </c:pt>
                <c:pt idx="8">
                  <c:v>42547309.008725159</c:v>
                </c:pt>
                <c:pt idx="9">
                  <c:v>61196459.507906407</c:v>
                </c:pt>
                <c:pt idx="10">
                  <c:v>77871841.45095025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9E-409B-93A9-B984134B8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146943"/>
        <c:axId val="1450206383"/>
      </c:lineChart>
      <c:catAx>
        <c:axId val="116714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0206383"/>
        <c:crosses val="autoZero"/>
        <c:auto val="1"/>
        <c:lblAlgn val="ctr"/>
        <c:lblOffset val="100"/>
        <c:noMultiLvlLbl val="0"/>
      </c:catAx>
      <c:valAx>
        <c:axId val="145020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714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0</xdr:rowOff>
    </xdr:from>
    <xdr:to>
      <xdr:col>13</xdr:col>
      <xdr:colOff>198120</xdr:colOff>
      <xdr:row>15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5BFBC0A-CAA0-DCAF-F8EC-5874449B2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</xdr:colOff>
      <xdr:row>24</xdr:row>
      <xdr:rowOff>91440</xdr:rowOff>
    </xdr:from>
    <xdr:to>
      <xdr:col>10</xdr:col>
      <xdr:colOff>617220</xdr:colOff>
      <xdr:row>40</xdr:row>
      <xdr:rowOff>57150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F1D102-3071-B5A9-D5C6-3063E37FE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190500</xdr:colOff>
      <xdr:row>41</xdr:row>
      <xdr:rowOff>49530</xdr:rowOff>
    </xdr:from>
    <xdr:to>
      <xdr:col>10</xdr:col>
      <xdr:colOff>769620</xdr:colOff>
      <xdr:row>56</xdr:row>
      <xdr:rowOff>49530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92046ED-27DC-2259-3BA1-3952E2D16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38100</xdr:colOff>
      <xdr:row>41</xdr:row>
      <xdr:rowOff>34290</xdr:rowOff>
    </xdr:from>
    <xdr:to>
      <xdr:col>16</xdr:col>
      <xdr:colOff>647700</xdr:colOff>
      <xdr:row>56</xdr:row>
      <xdr:rowOff>34290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CF0C2D0-9390-92AC-327D-2566B605C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655320</xdr:colOff>
      <xdr:row>0</xdr:row>
      <xdr:rowOff>0</xdr:rowOff>
    </xdr:from>
    <xdr:to>
      <xdr:col>19</xdr:col>
      <xdr:colOff>472440</xdr:colOff>
      <xdr:row>15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9AB05AD-7AC5-938B-8A30-11F2D6E61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99060</xdr:colOff>
      <xdr:row>66</xdr:row>
      <xdr:rowOff>148590</xdr:rowOff>
    </xdr:from>
    <xdr:to>
      <xdr:col>10</xdr:col>
      <xdr:colOff>678180</xdr:colOff>
      <xdr:row>81</xdr:row>
      <xdr:rowOff>148590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8FEC47DE-65B1-1EC9-C8AA-8596D95A6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281940</xdr:colOff>
      <xdr:row>16</xdr:row>
      <xdr:rowOff>11430</xdr:rowOff>
    </xdr:from>
    <xdr:to>
      <xdr:col>19</xdr:col>
      <xdr:colOff>99060</xdr:colOff>
      <xdr:row>31</xdr:row>
      <xdr:rowOff>11430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88954433-5981-975C-6C63-987C9C345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670560</xdr:colOff>
      <xdr:row>82</xdr:row>
      <xdr:rowOff>133350</xdr:rowOff>
    </xdr:from>
    <xdr:to>
      <xdr:col>10</xdr:col>
      <xdr:colOff>350520</xdr:colOff>
      <xdr:row>97</xdr:row>
      <xdr:rowOff>133350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8544BEB3-CD36-F8F7-B49D-7025E2B26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297180</xdr:colOff>
      <xdr:row>106</xdr:row>
      <xdr:rowOff>57150</xdr:rowOff>
    </xdr:from>
    <xdr:to>
      <xdr:col>15</xdr:col>
      <xdr:colOff>114300</xdr:colOff>
      <xdr:row>121</xdr:row>
      <xdr:rowOff>57150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B897EB66-6146-57BE-4AD9-7C046808E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762000</xdr:colOff>
      <xdr:row>45</xdr:row>
      <xdr:rowOff>19050</xdr:rowOff>
    </xdr:from>
    <xdr:to>
      <xdr:col>22</xdr:col>
      <xdr:colOff>579120</xdr:colOff>
      <xdr:row>60</xdr:row>
      <xdr:rowOff>19050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1DC4151C-E307-7559-3F14-1BABA5AEB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63F8-4E8E-4CBA-BBB7-C05CC822C0E6}">
  <sheetPr>
    <tabColor rgb="FFC00000"/>
  </sheetPr>
  <dimension ref="B5:N119"/>
  <sheetViews>
    <sheetView topLeftCell="A30" workbookViewId="0">
      <selection activeCell="V20" sqref="V20"/>
    </sheetView>
  </sheetViews>
  <sheetFormatPr baseColWidth="10" defaultRowHeight="14.4" x14ac:dyDescent="0.3"/>
  <cols>
    <col min="2" max="2" width="19.33203125" bestFit="1" customWidth="1"/>
    <col min="3" max="3" width="16.109375" bestFit="1" customWidth="1"/>
    <col min="5" max="5" width="13.109375" bestFit="1" customWidth="1"/>
    <col min="6" max="6" width="12" bestFit="1" customWidth="1"/>
  </cols>
  <sheetData>
    <row r="5" spans="2:6" x14ac:dyDescent="0.3">
      <c r="B5" s="1"/>
      <c r="C5" s="1" t="s">
        <v>167</v>
      </c>
      <c r="D5" s="1" t="s">
        <v>168</v>
      </c>
      <c r="E5" s="31" t="s">
        <v>169</v>
      </c>
      <c r="F5" s="1" t="s">
        <v>172</v>
      </c>
    </row>
    <row r="6" spans="2:6" x14ac:dyDescent="0.3">
      <c r="B6" s="1" t="s">
        <v>170</v>
      </c>
      <c r="C6" s="18">
        <v>0.49379191479109763</v>
      </c>
      <c r="D6" s="18">
        <v>0.60766342524003847</v>
      </c>
      <c r="E6" s="18">
        <v>0.67665691540985873</v>
      </c>
      <c r="F6" s="18">
        <v>0.66462504235770581</v>
      </c>
    </row>
    <row r="7" spans="2:6" x14ac:dyDescent="0.3">
      <c r="B7" s="1" t="s">
        <v>171</v>
      </c>
      <c r="C7" s="18">
        <v>0.50620808520890237</v>
      </c>
      <c r="D7" s="18">
        <v>0.39233657475996153</v>
      </c>
      <c r="E7" s="18">
        <v>0.32334308459014127</v>
      </c>
      <c r="F7" s="18">
        <v>0.33537495764229419</v>
      </c>
    </row>
    <row r="17" spans="2:13" x14ac:dyDescent="0.3">
      <c r="B17" t="s">
        <v>182</v>
      </c>
      <c r="C17">
        <v>2011</v>
      </c>
      <c r="D17">
        <v>2012</v>
      </c>
      <c r="E17">
        <v>2013</v>
      </c>
      <c r="F17">
        <v>2014</v>
      </c>
      <c r="G17">
        <v>2015</v>
      </c>
      <c r="H17">
        <v>2016</v>
      </c>
      <c r="I17">
        <v>2017</v>
      </c>
      <c r="J17">
        <v>2018</v>
      </c>
      <c r="K17">
        <v>2019</v>
      </c>
      <c r="L17">
        <v>2020</v>
      </c>
      <c r="M17">
        <v>2021</v>
      </c>
    </row>
    <row r="18" spans="2:13" x14ac:dyDescent="0.3">
      <c r="B18" t="s">
        <v>173</v>
      </c>
      <c r="C18">
        <f t="shared" ref="C18:M18" si="0">C20/1000</f>
        <v>-73445.792000000001</v>
      </c>
      <c r="D18">
        <f t="shared" si="0"/>
        <v>-241407.81700000001</v>
      </c>
      <c r="E18">
        <f t="shared" si="0"/>
        <v>116802.045</v>
      </c>
      <c r="F18">
        <f t="shared" si="0"/>
        <v>141544.20199999999</v>
      </c>
      <c r="G18">
        <f t="shared" si="0"/>
        <v>93764.638000000006</v>
      </c>
      <c r="H18">
        <f t="shared" si="0"/>
        <v>55567.633000000002</v>
      </c>
      <c r="I18">
        <f t="shared" si="0"/>
        <v>110004.643</v>
      </c>
      <c r="J18">
        <f t="shared" si="0"/>
        <v>77958.596000000005</v>
      </c>
      <c r="K18">
        <f t="shared" si="0"/>
        <v>63568.427000000003</v>
      </c>
      <c r="L18">
        <f t="shared" si="0"/>
        <v>97578.084000000003</v>
      </c>
      <c r="M18">
        <f t="shared" si="0"/>
        <v>141930.04800000001</v>
      </c>
    </row>
    <row r="19" spans="2:13" x14ac:dyDescent="0.3">
      <c r="B19" t="s">
        <v>174</v>
      </c>
      <c r="C19">
        <f t="shared" ref="C19:M19" si="1">C21/1000</f>
        <v>-73808.870635023122</v>
      </c>
      <c r="D19">
        <f t="shared" si="1"/>
        <v>-241760.75377370961</v>
      </c>
      <c r="E19">
        <f t="shared" si="1"/>
        <v>90770.113109559956</v>
      </c>
      <c r="F19">
        <f t="shared" si="1"/>
        <v>103094.14495773181</v>
      </c>
      <c r="G19">
        <f t="shared" si="1"/>
        <v>71085.596635966198</v>
      </c>
      <c r="H19">
        <f t="shared" si="1"/>
        <v>43835.69435631638</v>
      </c>
      <c r="I19">
        <f t="shared" si="1"/>
        <v>75540.703858760127</v>
      </c>
      <c r="J19">
        <f t="shared" si="1"/>
        <v>54117.592818672631</v>
      </c>
      <c r="K19">
        <f t="shared" si="1"/>
        <v>45531.852707925762</v>
      </c>
      <c r="L19">
        <f t="shared" si="1"/>
        <v>68247.921864272634</v>
      </c>
      <c r="M19">
        <f t="shared" si="1"/>
        <v>98672.880217332393</v>
      </c>
    </row>
    <row r="20" spans="2:13" x14ac:dyDescent="0.3">
      <c r="B20" t="s">
        <v>173</v>
      </c>
      <c r="C20">
        <v>-73445792</v>
      </c>
      <c r="D20">
        <v>-241407817</v>
      </c>
      <c r="E20">
        <v>116802045</v>
      </c>
      <c r="F20">
        <v>141544202</v>
      </c>
      <c r="G20">
        <v>93764638</v>
      </c>
      <c r="H20">
        <v>55567633</v>
      </c>
      <c r="I20">
        <v>110004643</v>
      </c>
      <c r="J20">
        <v>77958596</v>
      </c>
      <c r="K20">
        <v>63568427</v>
      </c>
      <c r="L20">
        <v>97578084</v>
      </c>
      <c r="M20">
        <v>141930048</v>
      </c>
    </row>
    <row r="21" spans="2:13" x14ac:dyDescent="0.3">
      <c r="B21" t="s">
        <v>174</v>
      </c>
      <c r="C21">
        <v>-73808870.635023117</v>
      </c>
      <c r="D21">
        <v>-241760753.77370963</v>
      </c>
      <c r="E21">
        <v>90770113.109559953</v>
      </c>
      <c r="F21">
        <v>103094144.95773181</v>
      </c>
      <c r="G21">
        <v>71085596.635966197</v>
      </c>
      <c r="H21">
        <v>43835694.35631638</v>
      </c>
      <c r="I21">
        <v>75540703.858760133</v>
      </c>
      <c r="J21">
        <v>54117592.818672627</v>
      </c>
      <c r="K21">
        <v>45531852.707925759</v>
      </c>
      <c r="L21">
        <v>68247921.864272639</v>
      </c>
      <c r="M21">
        <v>98672880.217332393</v>
      </c>
    </row>
    <row r="29" spans="2:13" x14ac:dyDescent="0.3">
      <c r="B29" t="s">
        <v>175</v>
      </c>
    </row>
    <row r="30" spans="2:13" x14ac:dyDescent="0.3">
      <c r="C30" t="s">
        <v>175</v>
      </c>
      <c r="D30" s="1" t="s">
        <v>178</v>
      </c>
    </row>
    <row r="31" spans="2:13" x14ac:dyDescent="0.3">
      <c r="B31" t="s">
        <v>177</v>
      </c>
      <c r="C31" s="33">
        <f>D31/D37</f>
        <v>8.7984767519071767E-3</v>
      </c>
      <c r="D31" s="1">
        <f>SUM('Modèle de base (CM 2003)'!C33:M33)</f>
        <v>4823469.2406981122</v>
      </c>
    </row>
    <row r="32" spans="2:13" x14ac:dyDescent="0.3">
      <c r="B32" t="s">
        <v>29</v>
      </c>
      <c r="C32" s="33">
        <f>D32/D37</f>
        <v>1.8499740857668582E-5</v>
      </c>
      <c r="D32" s="32">
        <f>'Modèle de base (CM 2003)'!C29</f>
        <v>10141.861313494772</v>
      </c>
    </row>
    <row r="33" spans="2:5" x14ac:dyDescent="0.3">
      <c r="B33" t="s">
        <v>176</v>
      </c>
      <c r="C33" s="18">
        <f>D33/D37</f>
        <v>0.62780271961698553</v>
      </c>
      <c r="D33">
        <f>SUM('Modèle de base (CM 2003)'!C44:M44)</f>
        <v>344171746.1653524</v>
      </c>
    </row>
    <row r="34" spans="2:5" x14ac:dyDescent="0.3">
      <c r="B34" t="s">
        <v>32</v>
      </c>
      <c r="C34" s="18">
        <f>D34/D37</f>
        <v>0.18120540757282091</v>
      </c>
      <c r="D34">
        <f>SUM('Modèle de base (CM 2003)'!C37:M37)</f>
        <v>99339776</v>
      </c>
    </row>
    <row r="35" spans="2:5" x14ac:dyDescent="0.3">
      <c r="B35" t="s">
        <v>39</v>
      </c>
      <c r="C35" s="18">
        <f>D35/D37</f>
        <v>0.11659193364315447</v>
      </c>
      <c r="D35">
        <f>SUM('Modèle de base (CM 2003)'!C48:M48)</f>
        <v>63917610.002136886</v>
      </c>
    </row>
    <row r="36" spans="2:5" x14ac:dyDescent="0.3">
      <c r="B36" t="s">
        <v>41</v>
      </c>
      <c r="C36" s="18">
        <f>D36/D37</f>
        <v>6.5582962674274367E-2</v>
      </c>
      <c r="D36">
        <f>SUM('Modèle de base (CM 2003)'!C50:M50)</f>
        <v>35953655.626201987</v>
      </c>
    </row>
    <row r="37" spans="2:5" x14ac:dyDescent="0.3">
      <c r="B37" t="s">
        <v>42</v>
      </c>
      <c r="C37" s="18">
        <f>SUM(C31:C36)</f>
        <v>1</v>
      </c>
      <c r="D37">
        <f>SUM(D31:D36)</f>
        <v>548216398.89570284</v>
      </c>
    </row>
    <row r="43" spans="2:5" x14ac:dyDescent="0.3">
      <c r="B43" s="1" t="s">
        <v>179</v>
      </c>
      <c r="C43">
        <v>1100</v>
      </c>
      <c r="D43">
        <v>1300</v>
      </c>
      <c r="E43">
        <v>1600</v>
      </c>
    </row>
    <row r="44" spans="2:5" x14ac:dyDescent="0.3">
      <c r="B44" s="1" t="s">
        <v>180</v>
      </c>
      <c r="C44" s="19">
        <f>Récapitulatif!C23</f>
        <v>0.81343486431906831</v>
      </c>
      <c r="D44" s="19">
        <f>Récapitulatif!D23</f>
        <v>0.49379191479109763</v>
      </c>
      <c r="E44" s="19">
        <f>Récapitulatif!E23</f>
        <v>0.41493616586098492</v>
      </c>
    </row>
    <row r="45" spans="2:5" x14ac:dyDescent="0.3">
      <c r="B45" s="1"/>
    </row>
    <row r="47" spans="2:5" x14ac:dyDescent="0.3">
      <c r="B47" s="1" t="s">
        <v>179</v>
      </c>
      <c r="C47">
        <v>1100</v>
      </c>
      <c r="D47">
        <v>1300</v>
      </c>
      <c r="E47">
        <v>1600</v>
      </c>
    </row>
    <row r="48" spans="2:5" x14ac:dyDescent="0.3">
      <c r="B48" s="1" t="s">
        <v>181</v>
      </c>
      <c r="C48" s="19">
        <f>Récapitulatif!C36</f>
        <v>0.98881003599473793</v>
      </c>
      <c r="D48" s="19">
        <f>Récapitulatif!D36</f>
        <v>0.60766342524003847</v>
      </c>
      <c r="E48" s="19">
        <f>Récapitulatif!E36</f>
        <v>0.51578800682517145</v>
      </c>
    </row>
    <row r="61" spans="3:14" x14ac:dyDescent="0.3">
      <c r="C61" t="s">
        <v>196</v>
      </c>
      <c r="D61" s="38">
        <f>'Modèle de base (CM 2003)'!C25</f>
        <v>-73445792</v>
      </c>
      <c r="E61" s="38">
        <f>'Modèle de base (CM 2003)'!D25</f>
        <v>-241407817</v>
      </c>
      <c r="F61" s="38">
        <f>'Modèle de base (CM 2003)'!E25</f>
        <v>174154845</v>
      </c>
      <c r="G61" s="38">
        <f>'Modèle de base (CM 2003)'!F25</f>
        <v>206115602</v>
      </c>
      <c r="H61" s="38">
        <f>'Modèle de base (CM 2003)'!G25</f>
        <v>150706738</v>
      </c>
      <c r="I61" s="38">
        <f>'Modèle de base (CM 2003)'!H25</f>
        <v>106065133</v>
      </c>
      <c r="J61" s="38">
        <f>'Modèle de base (CM 2003)'!I25</f>
        <v>173295943</v>
      </c>
      <c r="K61" s="38">
        <f>'Modèle de base (CM 2003)'!J25</f>
        <v>128268596</v>
      </c>
      <c r="L61" s="38">
        <f>'Modèle de base (CM 2003)'!K25</f>
        <v>104608127</v>
      </c>
      <c r="M61" s="38">
        <f>'Modèle de base (CM 2003)'!L25</f>
        <v>143417484</v>
      </c>
      <c r="N61" s="38">
        <f>'Modèle de base (CM 2003)'!M25</f>
        <v>177741048</v>
      </c>
    </row>
    <row r="62" spans="3:14" x14ac:dyDescent="0.3">
      <c r="C62" t="s">
        <v>185</v>
      </c>
      <c r="D62">
        <f>'Modèle de base (CM 2003)'!C53</f>
        <v>363078.63502311282</v>
      </c>
      <c r="E62">
        <f>'Modèle de base (CM 2003)'!D53</f>
        <v>352936.77370961802</v>
      </c>
      <c r="F62">
        <f>'Modèle de base (CM 2003)'!E53</f>
        <v>60834889.757437617</v>
      </c>
      <c r="G62">
        <f>'Modèle de base (CM 2003)'!F53</f>
        <v>82096585.80796887</v>
      </c>
      <c r="H62">
        <f>'Modèle de base (CM 2003)'!G53</f>
        <v>55693080.910875112</v>
      </c>
      <c r="I62">
        <f>'Modèle de base (CM 2003)'!H53</f>
        <v>36861266.42756892</v>
      </c>
      <c r="J62">
        <f>'Modèle de base (CM 2003)'!I53</f>
        <v>75618285.99643141</v>
      </c>
      <c r="K62">
        <f>'Modèle de base (CM 2003)'!J53</f>
        <v>54780664.619106412</v>
      </c>
      <c r="L62">
        <f>'Modèle de base (CM 2003)'!K53</f>
        <v>42547309.008725159</v>
      </c>
      <c r="M62">
        <f>'Modèle de base (CM 2003)'!L53</f>
        <v>61196459.507906407</v>
      </c>
      <c r="N62">
        <f>'Modèle de base (CM 2003)'!M53</f>
        <v>77871841.45095025</v>
      </c>
    </row>
    <row r="63" spans="3:14" x14ac:dyDescent="0.3">
      <c r="C63" t="s">
        <v>184</v>
      </c>
      <c r="F63">
        <f>'Modèle de base (CM 2003)'!E49</f>
        <v>62503669.050199881</v>
      </c>
      <c r="G63">
        <f>'Modèle de base (CM 2003)'!F49</f>
        <v>88053201.86029987</v>
      </c>
      <c r="H63">
        <f>'Modèle de base (CM 2003)'!G49</f>
        <v>55955953.473199867</v>
      </c>
      <c r="I63">
        <f>'Modèle de base (CM 2003)'!H49</f>
        <v>33188013.124726515</v>
      </c>
      <c r="J63">
        <f>'Modèle de base (CM 2003)'!I49</f>
        <v>79861929.155806512</v>
      </c>
      <c r="K63">
        <f>'Modèle de base (CM 2003)'!J49</f>
        <v>56454444.553486504</v>
      </c>
      <c r="L63">
        <f>'Modèle de base (CM 2003)'!K49</f>
        <v>43168178.328826502</v>
      </c>
      <c r="M63">
        <f>'Modèle de base (CM 2003)'!L49</f>
        <v>66001674.205966502</v>
      </c>
      <c r="N63">
        <f>'Modèle de base (CM 2003)'!M49</f>
        <v>90071426.266719759</v>
      </c>
    </row>
    <row r="64" spans="3:14" x14ac:dyDescent="0.3">
      <c r="C64" t="s">
        <v>186</v>
      </c>
      <c r="D64">
        <f>'Modèle de base (CM 2003)'!C23*(-1)</f>
        <v>-73445792</v>
      </c>
      <c r="E64">
        <f>'Modèle de base (CM 2003)'!D23*(-1)</f>
        <v>-241407817</v>
      </c>
    </row>
    <row r="65" spans="3:14" x14ac:dyDescent="0.3">
      <c r="C65" t="s">
        <v>183</v>
      </c>
      <c r="F65">
        <f>'Modèle de base (CM 2003)'!E23</f>
        <v>131726755</v>
      </c>
      <c r="G65">
        <f>'Modèle de base (CM 2003)'!F23</f>
        <v>138265198</v>
      </c>
      <c r="H65">
        <f>'Modèle de base (CM 2003)'!G23</f>
        <v>152984462</v>
      </c>
      <c r="I65">
        <f>'Modèle de base (CM 2003)'!H23</f>
        <v>163254867</v>
      </c>
      <c r="J65">
        <f>'Modèle de base (CM 2003)'!I23</f>
        <v>164257657</v>
      </c>
      <c r="K65">
        <f>'Modèle de base (CM 2003)'!J23</f>
        <v>140051404</v>
      </c>
      <c r="L65">
        <f>'Modèle de base (CM 2003)'!K23</f>
        <v>114270273</v>
      </c>
      <c r="M65">
        <f>'Modèle de base (CM 2003)'!L23</f>
        <v>101059316</v>
      </c>
      <c r="N65">
        <f>'Modèle de base (CM 2003)'!M23</f>
        <v>13250952</v>
      </c>
    </row>
    <row r="66" spans="3:14" x14ac:dyDescent="0.3">
      <c r="C66" t="s">
        <v>187</v>
      </c>
    </row>
    <row r="86" spans="2:4" x14ac:dyDescent="0.3">
      <c r="B86" s="2" t="s">
        <v>188</v>
      </c>
      <c r="D86">
        <f>SUM('Code Minier 2015'!C54:M54)</f>
        <v>306139687.81862682</v>
      </c>
    </row>
    <row r="87" spans="2:4" x14ac:dyDescent="0.3">
      <c r="B87" s="2" t="s">
        <v>189</v>
      </c>
      <c r="D87">
        <f>SUM('Code Minier 2015'!C37:M37)</f>
        <v>80713568</v>
      </c>
    </row>
    <row r="88" spans="2:4" x14ac:dyDescent="0.3">
      <c r="B88" s="2" t="s">
        <v>190</v>
      </c>
      <c r="D88">
        <f>SUM('Code Minier 2015'!E40:M40)</f>
        <v>20178392</v>
      </c>
    </row>
    <row r="89" spans="2:4" x14ac:dyDescent="0.3">
      <c r="B89" s="2" t="s">
        <v>191</v>
      </c>
      <c r="C89" s="18">
        <f>D89/D86</f>
        <v>0.11864226379403159</v>
      </c>
      <c r="D89">
        <f>D88+(D87*20%)</f>
        <v>36321105.600000001</v>
      </c>
    </row>
    <row r="90" spans="2:4" x14ac:dyDescent="0.3">
      <c r="B90" s="2" t="s">
        <v>192</v>
      </c>
      <c r="C90" s="18">
        <f>D90/D86</f>
        <v>0.88135773620596836</v>
      </c>
      <c r="D90">
        <f>D86-D89</f>
        <v>269818582.2186268</v>
      </c>
    </row>
    <row r="104" spans="3:12" x14ac:dyDescent="0.3">
      <c r="C104" t="s">
        <v>193</v>
      </c>
      <c r="D104" s="19">
        <f>'Modèle de base (CM 2003)'!E27</f>
        <v>-0.39130880088172382</v>
      </c>
      <c r="E104" s="19">
        <f>'Modèle de base (CM 2003)'!F27</f>
        <v>0.11243079110208098</v>
      </c>
      <c r="F104" s="19">
        <f>'Modèle de base (CM 2003)'!G27</f>
        <v>0.27689970400013508</v>
      </c>
      <c r="G104" s="19">
        <f>'Modèle de base (CM 2003)'!H27</f>
        <v>0.34079760300658513</v>
      </c>
      <c r="H104" s="19">
        <f>'Modèle de base (CM 2003)'!I27</f>
        <v>0.40012658741461915</v>
      </c>
      <c r="I104" s="19">
        <f>'Modèle de base (CM 2003)'!J27</f>
        <v>0.42540793881104033</v>
      </c>
      <c r="J104" s="19">
        <f>'Modèle de base (CM 2003)'!K27</f>
        <v>0.43824982681485536</v>
      </c>
      <c r="K104" s="19">
        <f>'Modèle de base (CM 2003)'!L27</f>
        <v>0.44942431685371487</v>
      </c>
      <c r="L104" s="19">
        <f>'Modèle de base (CM 2003)'!M27</f>
        <v>0.45818507382926854</v>
      </c>
    </row>
    <row r="105" spans="3:12" x14ac:dyDescent="0.3">
      <c r="C105" t="s">
        <v>194</v>
      </c>
      <c r="E105" s="19">
        <f>'Modèle de base (CM 2003)'!F57</f>
        <v>-0.14925550203122595</v>
      </c>
      <c r="F105" s="19">
        <f>'Modèle de base (CM 2003)'!G57</f>
        <v>2.4126629486718176E-2</v>
      </c>
      <c r="G105" s="19">
        <f>'Modèle de base (CM 2003)'!H57</f>
        <v>0.10169092418588854</v>
      </c>
      <c r="H105" s="19">
        <f>'Modèle de base (CM 2003)'!I57</f>
        <v>0.17018121739632086</v>
      </c>
      <c r="I105" s="19">
        <f>'Modèle de base (CM 2003)'!J57</f>
        <v>0.20296263467627296</v>
      </c>
      <c r="J105" s="19">
        <f>'Modèle de base (CM 2003)'!K57</f>
        <v>0.22211529997727708</v>
      </c>
      <c r="K105" s="19">
        <f>'Modèle de base (CM 2003)'!L57</f>
        <v>0.2398636336929989</v>
      </c>
      <c r="L105" s="19">
        <f>'Modèle de base (CM 2003)'!M57</f>
        <v>0.2547241970984051</v>
      </c>
    </row>
    <row r="106" spans="3:12" x14ac:dyDescent="0.3">
      <c r="C106" t="s">
        <v>195</v>
      </c>
      <c r="E106" s="19">
        <f>'Code Minier 2015'!F58</f>
        <v>-0.27435600348244482</v>
      </c>
      <c r="F106" s="19">
        <f>'Code Minier 2015'!G58</f>
        <v>-0.10965259589526311</v>
      </c>
      <c r="G106" s="19">
        <f>'Code Minier 2015'!H58</f>
        <v>-3.798194866421345E-2</v>
      </c>
      <c r="H106" s="19">
        <f>'Code Minier 2015'!I58</f>
        <v>3.9866810787317908E-2</v>
      </c>
      <c r="I106" s="19">
        <f>'Code Minier 2015'!J58</f>
        <v>7.7305813904541498E-2</v>
      </c>
      <c r="J106" s="19">
        <f>'Code Minier 2015'!K58</f>
        <v>0.10075814030316699</v>
      </c>
      <c r="K106" s="19">
        <f>'Code Minier 2015'!L58</f>
        <v>0.1258743904305053</v>
      </c>
      <c r="L106" s="19">
        <f>'Code Minier 2015'!M58</f>
        <v>0.15060914785503532</v>
      </c>
    </row>
    <row r="117" spans="3:6" x14ac:dyDescent="0.3">
      <c r="C117" s="6" t="s">
        <v>128</v>
      </c>
      <c r="D117" s="6">
        <v>1100</v>
      </c>
      <c r="E117" s="6">
        <v>1300</v>
      </c>
      <c r="F117" s="6">
        <v>1600</v>
      </c>
    </row>
    <row r="118" spans="3:6" x14ac:dyDescent="0.3">
      <c r="C118" s="6" t="s">
        <v>27</v>
      </c>
      <c r="D118" s="23">
        <v>1.086736315296057</v>
      </c>
      <c r="E118" s="28">
        <v>0.60766342524003847</v>
      </c>
      <c r="F118" s="28">
        <v>0.49941612586807005</v>
      </c>
    </row>
    <row r="119" spans="3:6" x14ac:dyDescent="0.3">
      <c r="C119" s="6" t="s">
        <v>131</v>
      </c>
      <c r="D119" s="23">
        <v>0.13994103588700502</v>
      </c>
      <c r="E119" s="27">
        <v>0.27738178816017744</v>
      </c>
      <c r="F119" s="27">
        <v>0.45818507382926854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5530-E94C-415A-9E69-A6D11B7FBAED}">
  <sheetPr>
    <tabColor rgb="FFFF0000"/>
  </sheetPr>
  <dimension ref="A1:M50"/>
  <sheetViews>
    <sheetView topLeftCell="A23" workbookViewId="0">
      <selection activeCell="I16" sqref="I16"/>
    </sheetView>
  </sheetViews>
  <sheetFormatPr baseColWidth="10" defaultRowHeight="14.4" x14ac:dyDescent="0.3"/>
  <cols>
    <col min="1" max="1" width="13.109375" customWidth="1"/>
    <col min="2" max="2" width="17.88671875" bestFit="1" customWidth="1"/>
    <col min="3" max="3" width="17.77734375" customWidth="1"/>
    <col min="4" max="4" width="13.109375" customWidth="1"/>
    <col min="5" max="5" width="12.109375" customWidth="1"/>
    <col min="6" max="6" width="12.77734375" customWidth="1"/>
    <col min="7" max="8" width="12.21875" bestFit="1" customWidth="1"/>
    <col min="9" max="9" width="31.21875" bestFit="1" customWidth="1"/>
    <col min="10" max="10" width="30.88671875" bestFit="1" customWidth="1"/>
    <col min="11" max="11" width="17.88671875" bestFit="1" customWidth="1"/>
  </cols>
  <sheetData>
    <row r="1" spans="1:13" x14ac:dyDescent="0.3">
      <c r="A1" s="53"/>
      <c r="B1" s="53" t="s">
        <v>134</v>
      </c>
      <c r="C1" s="53"/>
      <c r="D1" s="53" t="s">
        <v>135</v>
      </c>
      <c r="E1" s="53"/>
    </row>
    <row r="2" spans="1:13" x14ac:dyDescent="0.3">
      <c r="A2" s="53"/>
      <c r="B2" s="53" t="s">
        <v>136</v>
      </c>
      <c r="C2" s="53" t="s">
        <v>137</v>
      </c>
      <c r="D2" s="53" t="s">
        <v>136</v>
      </c>
      <c r="E2" s="53" t="s">
        <v>137</v>
      </c>
      <c r="I2" s="2" t="s">
        <v>156</v>
      </c>
      <c r="J2" s="74" t="s">
        <v>157</v>
      </c>
    </row>
    <row r="3" spans="1:13" x14ac:dyDescent="0.3">
      <c r="A3" s="53" t="s">
        <v>138</v>
      </c>
      <c r="B3" s="2" t="s">
        <v>139</v>
      </c>
      <c r="C3" s="2"/>
      <c r="D3" s="2" t="s">
        <v>140</v>
      </c>
      <c r="E3" s="2"/>
      <c r="I3" s="2" t="s">
        <v>148</v>
      </c>
      <c r="J3" s="74" t="s">
        <v>158</v>
      </c>
    </row>
    <row r="4" spans="1:13" x14ac:dyDescent="0.3">
      <c r="A4" s="53" t="s">
        <v>141</v>
      </c>
      <c r="B4" s="2" t="s">
        <v>142</v>
      </c>
      <c r="C4" s="2"/>
      <c r="D4" s="2" t="s">
        <v>140</v>
      </c>
      <c r="E4" s="2"/>
      <c r="I4" s="2" t="s">
        <v>159</v>
      </c>
      <c r="J4" s="75">
        <v>42040</v>
      </c>
    </row>
    <row r="5" spans="1:13" x14ac:dyDescent="0.3">
      <c r="A5" s="53" t="s">
        <v>143</v>
      </c>
      <c r="B5" s="29">
        <v>0.1</v>
      </c>
      <c r="C5" s="2"/>
      <c r="D5" s="2" t="s">
        <v>140</v>
      </c>
      <c r="E5" s="2"/>
      <c r="I5" s="2" t="s">
        <v>160</v>
      </c>
      <c r="J5" s="75">
        <v>42338</v>
      </c>
    </row>
    <row r="6" spans="1:13" x14ac:dyDescent="0.3">
      <c r="A6" s="53" t="s">
        <v>65</v>
      </c>
      <c r="B6" s="2" t="s">
        <v>144</v>
      </c>
      <c r="C6" s="2">
        <v>0</v>
      </c>
      <c r="D6" s="2" t="s">
        <v>140</v>
      </c>
      <c r="E6" s="2" t="s">
        <v>140</v>
      </c>
      <c r="I6" s="2" t="s">
        <v>161</v>
      </c>
      <c r="J6" s="74" t="s">
        <v>162</v>
      </c>
    </row>
    <row r="7" spans="1:13" x14ac:dyDescent="0.3">
      <c r="A7" s="53" t="s">
        <v>66</v>
      </c>
      <c r="B7" s="2">
        <v>0</v>
      </c>
      <c r="C7" s="2" t="s">
        <v>145</v>
      </c>
      <c r="D7" s="2" t="s">
        <v>140</v>
      </c>
      <c r="E7" s="2" t="s">
        <v>140</v>
      </c>
      <c r="I7" s="2" t="s">
        <v>163</v>
      </c>
      <c r="J7" s="74" t="s">
        <v>210</v>
      </c>
    </row>
    <row r="8" spans="1:13" x14ac:dyDescent="0.3">
      <c r="A8" s="53" t="s">
        <v>67</v>
      </c>
      <c r="B8" s="2">
        <v>0</v>
      </c>
      <c r="C8" s="2"/>
      <c r="D8" s="2" t="s">
        <v>140</v>
      </c>
      <c r="E8" s="2" t="s">
        <v>140</v>
      </c>
      <c r="I8" s="2" t="s">
        <v>30</v>
      </c>
      <c r="J8" s="74" t="s">
        <v>164</v>
      </c>
    </row>
    <row r="9" spans="1:13" x14ac:dyDescent="0.3">
      <c r="A9" s="53" t="s">
        <v>76</v>
      </c>
      <c r="B9" s="2"/>
      <c r="C9" s="2"/>
      <c r="D9" s="2"/>
      <c r="E9" s="2" t="s">
        <v>146</v>
      </c>
      <c r="I9" s="2" t="s">
        <v>165</v>
      </c>
      <c r="J9" s="74">
        <v>1.97</v>
      </c>
    </row>
    <row r="10" spans="1:13" x14ac:dyDescent="0.3">
      <c r="A10" s="53" t="s">
        <v>147</v>
      </c>
      <c r="B10" s="2" t="s">
        <v>148</v>
      </c>
      <c r="C10" s="2"/>
      <c r="D10" s="2" t="s">
        <v>149</v>
      </c>
      <c r="E10" s="2"/>
      <c r="I10" s="2" t="s">
        <v>166</v>
      </c>
      <c r="J10" s="76">
        <v>172464.88888888888</v>
      </c>
    </row>
    <row r="11" spans="1:13" x14ac:dyDescent="0.3">
      <c r="A11" s="53" t="s">
        <v>46</v>
      </c>
      <c r="B11" s="2" t="s">
        <v>150</v>
      </c>
      <c r="C11" s="2" t="s">
        <v>151</v>
      </c>
      <c r="D11" s="2" t="s">
        <v>140</v>
      </c>
      <c r="E11" s="2" t="s">
        <v>152</v>
      </c>
    </row>
    <row r="12" spans="1:13" x14ac:dyDescent="0.3">
      <c r="A12" s="53" t="s">
        <v>49</v>
      </c>
      <c r="B12" s="2" t="s">
        <v>150</v>
      </c>
      <c r="C12" s="2" t="s">
        <v>153</v>
      </c>
      <c r="D12" s="2" t="s">
        <v>140</v>
      </c>
      <c r="E12" s="2" t="s">
        <v>140</v>
      </c>
    </row>
    <row r="13" spans="1:13" x14ac:dyDescent="0.3">
      <c r="A13" s="53" t="s">
        <v>154</v>
      </c>
      <c r="B13" s="2" t="s">
        <v>150</v>
      </c>
      <c r="C13" s="2" t="s">
        <v>153</v>
      </c>
      <c r="D13" s="2" t="s">
        <v>140</v>
      </c>
      <c r="E13" s="2" t="s">
        <v>140</v>
      </c>
      <c r="K13" s="97" t="s">
        <v>197</v>
      </c>
      <c r="L13" s="98"/>
      <c r="M13" s="99"/>
    </row>
    <row r="14" spans="1:13" x14ac:dyDescent="0.3">
      <c r="A14" s="53" t="s">
        <v>155</v>
      </c>
      <c r="B14" s="30">
        <v>2.5000000000000001E-2</v>
      </c>
      <c r="C14" s="30">
        <v>7.4999999999999997E-2</v>
      </c>
      <c r="D14" s="2" t="s">
        <v>140</v>
      </c>
      <c r="E14" s="2" t="s">
        <v>140</v>
      </c>
      <c r="K14" s="68" t="s">
        <v>198</v>
      </c>
      <c r="L14" s="68" t="s">
        <v>199</v>
      </c>
      <c r="M14" s="68" t="s">
        <v>200</v>
      </c>
    </row>
    <row r="15" spans="1:13" x14ac:dyDescent="0.3">
      <c r="K15" s="68" t="s">
        <v>201</v>
      </c>
      <c r="L15" s="3"/>
      <c r="M15" s="69" t="s">
        <v>170</v>
      </c>
    </row>
    <row r="16" spans="1:13" x14ac:dyDescent="0.3">
      <c r="A16" s="20"/>
      <c r="B16" s="20"/>
      <c r="C16" s="20" t="s">
        <v>127</v>
      </c>
      <c r="D16" s="20"/>
      <c r="E16" s="20"/>
      <c r="F16" s="20" t="s">
        <v>133</v>
      </c>
      <c r="G16" s="20"/>
      <c r="H16" s="20"/>
      <c r="I16" t="s">
        <v>212</v>
      </c>
      <c r="K16" s="2" t="s">
        <v>202</v>
      </c>
      <c r="L16" s="70"/>
      <c r="M16" s="69" t="s">
        <v>170</v>
      </c>
    </row>
    <row r="17" spans="1:13" x14ac:dyDescent="0.3">
      <c r="A17" s="6"/>
      <c r="B17" s="6" t="s">
        <v>128</v>
      </c>
      <c r="C17" s="6">
        <v>1100</v>
      </c>
      <c r="D17" s="54">
        <v>1300</v>
      </c>
      <c r="E17" s="6">
        <v>1600</v>
      </c>
      <c r="F17" s="6">
        <v>1100</v>
      </c>
      <c r="G17" s="6">
        <v>1300</v>
      </c>
      <c r="H17" s="6">
        <v>1600</v>
      </c>
      <c r="K17" s="2" t="s">
        <v>203</v>
      </c>
      <c r="L17" s="71"/>
      <c r="M17" s="69" t="s">
        <v>170</v>
      </c>
    </row>
    <row r="18" spans="1:13" x14ac:dyDescent="0.3">
      <c r="A18" s="100" t="s">
        <v>129</v>
      </c>
      <c r="B18" s="6" t="s">
        <v>130</v>
      </c>
      <c r="C18" s="21">
        <v>131822127.96040545</v>
      </c>
      <c r="D18" s="55">
        <v>358175360.12388301</v>
      </c>
      <c r="E18" s="21">
        <v>697705208.36909926</v>
      </c>
      <c r="F18" s="22">
        <v>45127855.349078991</v>
      </c>
      <c r="G18" s="21">
        <v>214882594.50162408</v>
      </c>
      <c r="H18" s="21">
        <v>469514703.23044169</v>
      </c>
      <c r="K18" s="2" t="s">
        <v>204</v>
      </c>
      <c r="L18" s="4"/>
      <c r="M18" s="69" t="s">
        <v>170</v>
      </c>
    </row>
    <row r="19" spans="1:13" x14ac:dyDescent="0.3">
      <c r="A19" s="100"/>
      <c r="B19" s="6" t="s">
        <v>131</v>
      </c>
      <c r="C19" s="23">
        <v>0.13994103588700502</v>
      </c>
      <c r="D19" s="60">
        <v>0.27738178816017744</v>
      </c>
      <c r="E19" s="23">
        <v>0.45818507382926854</v>
      </c>
      <c r="F19" s="25">
        <v>0.13994103588700502</v>
      </c>
      <c r="G19" s="23">
        <v>0.27738178816017744</v>
      </c>
      <c r="H19" s="23">
        <v>0.45818507382926854</v>
      </c>
      <c r="K19" s="2" t="s">
        <v>205</v>
      </c>
      <c r="L19" s="5"/>
      <c r="M19" s="69" t="s">
        <v>170</v>
      </c>
    </row>
    <row r="20" spans="1:13" x14ac:dyDescent="0.3">
      <c r="A20" s="6"/>
      <c r="B20" s="6"/>
      <c r="C20" s="2"/>
      <c r="D20" s="57"/>
      <c r="E20" s="2"/>
      <c r="F20" s="2"/>
      <c r="G20" s="2"/>
      <c r="H20" s="2"/>
      <c r="K20" s="2" t="s">
        <v>206</v>
      </c>
      <c r="L20" s="4"/>
      <c r="M20" s="69" t="s">
        <v>170</v>
      </c>
    </row>
    <row r="21" spans="1:13" x14ac:dyDescent="0.3">
      <c r="A21" s="100" t="s">
        <v>132</v>
      </c>
      <c r="B21" s="6" t="s">
        <v>130</v>
      </c>
      <c r="C21" s="21">
        <v>24593413.188682184</v>
      </c>
      <c r="D21" s="58">
        <v>181311263.21731982</v>
      </c>
      <c r="E21" s="21">
        <v>408202084.30718565</v>
      </c>
      <c r="F21" s="22">
        <v>-32756434.944167752</v>
      </c>
      <c r="G21" s="21">
        <v>84810340.904515699</v>
      </c>
      <c r="H21" s="21">
        <v>254968247.56254816</v>
      </c>
      <c r="K21" s="2" t="s">
        <v>207</v>
      </c>
      <c r="L21" s="72"/>
      <c r="M21" s="69" t="s">
        <v>170</v>
      </c>
    </row>
    <row r="22" spans="1:13" x14ac:dyDescent="0.3">
      <c r="A22" s="100"/>
      <c r="B22" s="6" t="s">
        <v>131</v>
      </c>
      <c r="C22" s="23">
        <v>6.842966260772565E-2</v>
      </c>
      <c r="D22" s="61">
        <v>0.17606660099462568</v>
      </c>
      <c r="E22" s="23">
        <v>0.3115227482178351</v>
      </c>
      <c r="F22" s="25">
        <v>6.842966260772565E-2</v>
      </c>
      <c r="G22" s="23">
        <v>0.17606660099462568</v>
      </c>
      <c r="H22" s="23">
        <v>0.3115227482178351</v>
      </c>
      <c r="K22" s="2" t="s">
        <v>208</v>
      </c>
      <c r="L22" s="5"/>
      <c r="M22" s="69" t="s">
        <v>170</v>
      </c>
    </row>
    <row r="23" spans="1:13" x14ac:dyDescent="0.3">
      <c r="A23" s="100"/>
      <c r="B23" s="6" t="s">
        <v>27</v>
      </c>
      <c r="C23" s="23">
        <v>0.81343486431906831</v>
      </c>
      <c r="D23" s="60">
        <v>0.49379191479109763</v>
      </c>
      <c r="E23" s="23">
        <v>0.41493616586098492</v>
      </c>
      <c r="F23" s="25">
        <v>1.7258584457600703</v>
      </c>
      <c r="G23" s="23">
        <v>0.60531777317182989</v>
      </c>
      <c r="H23" s="23">
        <v>0.45695364637514313</v>
      </c>
      <c r="I23" s="19">
        <f>((H23-G23)/G23)/((H22-G22)/G22)</f>
        <v>-0.31858383839958904</v>
      </c>
      <c r="K23" s="2" t="s">
        <v>209</v>
      </c>
      <c r="L23" s="4"/>
      <c r="M23" s="73" t="s">
        <v>148</v>
      </c>
    </row>
    <row r="29" spans="1:13" x14ac:dyDescent="0.3">
      <c r="A29" s="6"/>
      <c r="B29" s="20"/>
      <c r="C29" s="20" t="s">
        <v>127</v>
      </c>
      <c r="D29" s="20"/>
      <c r="E29" s="20"/>
      <c r="F29" s="20" t="s">
        <v>133</v>
      </c>
      <c r="G29" s="20"/>
      <c r="H29" s="20"/>
      <c r="I29" t="s">
        <v>212</v>
      </c>
    </row>
    <row r="30" spans="1:13" x14ac:dyDescent="0.3">
      <c r="B30" s="6" t="s">
        <v>128</v>
      </c>
      <c r="C30" s="6">
        <v>1100</v>
      </c>
      <c r="D30" s="54">
        <v>1300</v>
      </c>
      <c r="E30" s="6">
        <v>1600</v>
      </c>
      <c r="F30" s="6">
        <v>1100</v>
      </c>
      <c r="G30" s="6">
        <v>1300</v>
      </c>
      <c r="H30" s="6">
        <v>1600</v>
      </c>
    </row>
    <row r="31" spans="1:13" x14ac:dyDescent="0.3">
      <c r="A31" s="100" t="s">
        <v>129</v>
      </c>
      <c r="B31" s="6" t="s">
        <v>130</v>
      </c>
      <c r="C31" s="35">
        <v>131822127.96040545</v>
      </c>
      <c r="D31" s="55">
        <v>358175360.12388301</v>
      </c>
      <c r="E31" s="22">
        <v>697705208.36909926</v>
      </c>
      <c r="F31" s="22">
        <v>45127855.349078991</v>
      </c>
      <c r="G31" s="22">
        <v>214882594.50162399</v>
      </c>
      <c r="H31" s="22">
        <v>469514703.23044169</v>
      </c>
    </row>
    <row r="32" spans="1:13" x14ac:dyDescent="0.3">
      <c r="A32" s="100"/>
      <c r="B32" s="6" t="s">
        <v>131</v>
      </c>
      <c r="C32" s="23">
        <v>0.13994103588700502</v>
      </c>
      <c r="D32" s="56">
        <v>0.277381788160177</v>
      </c>
      <c r="E32" s="27">
        <v>0.45818507382926854</v>
      </c>
      <c r="F32" s="27">
        <v>0.13994103588700502</v>
      </c>
      <c r="G32" s="27">
        <v>0.27738178816017744</v>
      </c>
      <c r="H32" s="27">
        <v>0.45818507382926854</v>
      </c>
    </row>
    <row r="33" spans="1:9" x14ac:dyDescent="0.3">
      <c r="A33" s="6"/>
      <c r="B33" s="6"/>
      <c r="C33" s="24"/>
      <c r="D33" s="57"/>
      <c r="E33" s="2"/>
      <c r="F33" s="2"/>
      <c r="G33" s="2"/>
      <c r="H33" s="2"/>
    </row>
    <row r="34" spans="1:9" x14ac:dyDescent="0.3">
      <c r="A34" s="100" t="s">
        <v>132</v>
      </c>
      <c r="B34" s="6" t="s">
        <v>130</v>
      </c>
      <c r="C34" s="25">
        <v>1475084.8669739917</v>
      </c>
      <c r="D34" s="58">
        <v>140525293.95441994</v>
      </c>
      <c r="E34" s="22">
        <v>337837229.59286064</v>
      </c>
      <c r="F34" s="22">
        <v>-49384053.360242918</v>
      </c>
      <c r="G34" s="22">
        <v>54946110.048802003</v>
      </c>
      <c r="H34" s="22">
        <v>202921183.5471856</v>
      </c>
    </row>
    <row r="35" spans="1:9" x14ac:dyDescent="0.3">
      <c r="A35" s="100"/>
      <c r="B35" s="6" t="s">
        <v>131</v>
      </c>
      <c r="C35" s="23">
        <v>5.1137872683361563E-2</v>
      </c>
      <c r="D35" s="56">
        <v>0.15060914785503532</v>
      </c>
      <c r="E35" s="27">
        <v>0.27309616059923969</v>
      </c>
      <c r="F35" s="27">
        <v>5.1137872683361563E-2</v>
      </c>
      <c r="G35" s="27">
        <v>0.15060914785503532</v>
      </c>
      <c r="H35" s="27">
        <v>0.27309616059923969</v>
      </c>
    </row>
    <row r="36" spans="1:9" x14ac:dyDescent="0.3">
      <c r="A36" s="100"/>
      <c r="B36" s="6" t="s">
        <v>27</v>
      </c>
      <c r="C36" s="23">
        <v>0.98881003599473793</v>
      </c>
      <c r="D36" s="59">
        <v>0.60766342524003847</v>
      </c>
      <c r="E36" s="28">
        <v>0.51578800682517145</v>
      </c>
      <c r="F36" s="28">
        <v>2.0943142096658667</v>
      </c>
      <c r="G36" s="28">
        <v>0.74429706521257255</v>
      </c>
      <c r="H36" s="28">
        <v>0.56780654119879559</v>
      </c>
      <c r="I36" s="19">
        <f>((H36-G36)/G36)/((H35-G35)/G35)</f>
        <v>-0.29156567470275402</v>
      </c>
    </row>
    <row r="37" spans="1:9" x14ac:dyDescent="0.3">
      <c r="A37" s="20"/>
      <c r="B37" s="20"/>
      <c r="C37" s="20"/>
      <c r="D37" s="20"/>
      <c r="E37" s="20"/>
      <c r="F37" s="20"/>
      <c r="G37" s="20"/>
      <c r="H37" s="20"/>
    </row>
    <row r="43" spans="1:9" x14ac:dyDescent="0.3">
      <c r="A43" s="20"/>
      <c r="B43" s="20"/>
      <c r="C43" s="20" t="s">
        <v>127</v>
      </c>
      <c r="D43" s="20"/>
      <c r="E43" s="20"/>
      <c r="F43" s="20" t="s">
        <v>133</v>
      </c>
      <c r="G43" s="20"/>
      <c r="H43" s="20"/>
    </row>
    <row r="44" spans="1:9" x14ac:dyDescent="0.3">
      <c r="A44" s="6"/>
      <c r="B44" s="6" t="s">
        <v>128</v>
      </c>
      <c r="C44" s="6">
        <v>1100</v>
      </c>
      <c r="D44" s="6">
        <v>1300</v>
      </c>
      <c r="E44" s="6">
        <v>1600</v>
      </c>
      <c r="F44" s="6">
        <v>1100</v>
      </c>
      <c r="G44" s="6">
        <v>1300</v>
      </c>
      <c r="H44" s="6">
        <v>1600</v>
      </c>
    </row>
    <row r="45" spans="1:9" x14ac:dyDescent="0.3">
      <c r="A45" s="100" t="s">
        <v>129</v>
      </c>
      <c r="B45" s="6" t="s">
        <v>130</v>
      </c>
      <c r="C45" s="20">
        <v>131822127.96040545</v>
      </c>
      <c r="D45" s="22">
        <v>358175360.12388301</v>
      </c>
      <c r="E45" s="22">
        <v>697705208.36909926</v>
      </c>
      <c r="F45" s="22">
        <v>45127855.349078991</v>
      </c>
      <c r="G45" s="22">
        <v>214882594.50162408</v>
      </c>
      <c r="H45" s="22">
        <v>469514703.23044169</v>
      </c>
    </row>
    <row r="46" spans="1:9" x14ac:dyDescent="0.3">
      <c r="A46" s="100"/>
      <c r="B46" s="6" t="s">
        <v>131</v>
      </c>
      <c r="C46" s="23">
        <v>0.13994103588700502</v>
      </c>
      <c r="D46" s="27">
        <v>0.27738178816017744</v>
      </c>
      <c r="E46" s="27">
        <v>0.45818507382926854</v>
      </c>
      <c r="F46" s="27">
        <v>0.13994103588700502</v>
      </c>
      <c r="G46" s="27">
        <v>0.27738178816017744</v>
      </c>
      <c r="H46" s="27">
        <v>0.45818507382926854</v>
      </c>
    </row>
    <row r="47" spans="1:9" x14ac:dyDescent="0.3">
      <c r="A47" s="6"/>
      <c r="B47" s="6"/>
      <c r="C47" s="24"/>
      <c r="D47" s="2"/>
      <c r="E47" s="2"/>
      <c r="F47" s="2"/>
      <c r="G47" s="2"/>
      <c r="H47" s="2"/>
    </row>
    <row r="48" spans="1:9" x14ac:dyDescent="0.3">
      <c r="A48" s="100" t="s">
        <v>132</v>
      </c>
      <c r="B48" s="6" t="s">
        <v>130</v>
      </c>
      <c r="C48" s="20">
        <v>-11433765.653770907</v>
      </c>
      <c r="D48" s="26">
        <v>140525293.95441994</v>
      </c>
      <c r="E48" s="22">
        <v>349259976.20742917</v>
      </c>
      <c r="F48" s="22">
        <v>-58555690.641787</v>
      </c>
      <c r="G48" s="22">
        <v>52487255.830925837</v>
      </c>
      <c r="H48" s="22">
        <v>211988808.73865718</v>
      </c>
    </row>
    <row r="49" spans="1:8" x14ac:dyDescent="0.3">
      <c r="A49" s="100"/>
      <c r="B49" s="6" t="s">
        <v>131</v>
      </c>
      <c r="C49" s="23">
        <v>4.1002242253928456E-2</v>
      </c>
      <c r="D49" s="27">
        <v>0.15060914785503532</v>
      </c>
      <c r="E49" s="27">
        <v>0.28111475562082422</v>
      </c>
      <c r="F49" s="27">
        <v>4.1002242253928456E-2</v>
      </c>
      <c r="G49" s="27">
        <v>0.14879110487783875</v>
      </c>
      <c r="H49" s="27">
        <v>0.28111475562082422</v>
      </c>
    </row>
    <row r="50" spans="1:8" x14ac:dyDescent="0.3">
      <c r="A50" s="100"/>
      <c r="B50" s="6" t="s">
        <v>27</v>
      </c>
      <c r="C50" s="23">
        <v>1.086736315296057</v>
      </c>
      <c r="D50" s="28">
        <v>0.60766342524003847</v>
      </c>
      <c r="E50" s="28">
        <v>0.49941612586807005</v>
      </c>
      <c r="F50" s="28">
        <v>2.297550929217425</v>
      </c>
      <c r="G50" s="28">
        <v>0.75573984504115277</v>
      </c>
      <c r="H50" s="28">
        <v>0.54849378032233576</v>
      </c>
    </row>
  </sheetData>
  <mergeCells count="7">
    <mergeCell ref="K13:M13"/>
    <mergeCell ref="A48:A50"/>
    <mergeCell ref="A18:A19"/>
    <mergeCell ref="A21:A23"/>
    <mergeCell ref="A31:A32"/>
    <mergeCell ref="A34:A36"/>
    <mergeCell ref="A45:A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B3E5-E782-42D0-9197-1A5B81C62E23}">
  <sheetPr>
    <tabColor rgb="FFFFC000"/>
  </sheetPr>
  <dimension ref="A1:V62"/>
  <sheetViews>
    <sheetView topLeftCell="A13" zoomScale="98" workbookViewId="0">
      <pane xSplit="1" topLeftCell="E1" activePane="topRight" state="frozen"/>
      <selection pane="topRight" sqref="A1:M21"/>
    </sheetView>
  </sheetViews>
  <sheetFormatPr baseColWidth="10" defaultColWidth="11.5546875" defaultRowHeight="14.4" x14ac:dyDescent="0.3"/>
  <cols>
    <col min="1" max="1" width="54.88671875" bestFit="1" customWidth="1"/>
    <col min="3" max="3" width="15.5546875" bestFit="1" customWidth="1"/>
    <col min="4" max="7" width="16.33203125" bestFit="1" customWidth="1"/>
    <col min="8" max="8" width="15.5546875" bestFit="1" customWidth="1"/>
    <col min="9" max="9" width="16.33203125" bestFit="1" customWidth="1"/>
    <col min="10" max="11" width="15.5546875" bestFit="1" customWidth="1"/>
    <col min="12" max="13" width="16.33203125" bestFit="1" customWidth="1"/>
    <col min="14" max="14" width="15.5546875" customWidth="1"/>
    <col min="15" max="15" width="16.6640625" style="34" bestFit="1" customWidth="1"/>
    <col min="16" max="16" width="29.6640625" bestFit="1" customWidth="1"/>
    <col min="18" max="19" width="16.6640625" bestFit="1" customWidth="1"/>
  </cols>
  <sheetData>
    <row r="1" spans="1:22" ht="18" x14ac:dyDescent="0.35">
      <c r="A1" s="62" t="s">
        <v>211</v>
      </c>
      <c r="B1" s="67" t="s">
        <v>0</v>
      </c>
      <c r="C1" s="67">
        <v>2011</v>
      </c>
      <c r="D1" s="67">
        <v>2012</v>
      </c>
      <c r="E1" s="67">
        <v>2013</v>
      </c>
      <c r="F1" s="67">
        <v>2014</v>
      </c>
      <c r="G1" s="67">
        <v>2015</v>
      </c>
      <c r="H1" s="67">
        <v>2016</v>
      </c>
      <c r="I1" s="67">
        <v>2017</v>
      </c>
      <c r="J1" s="67">
        <v>2018</v>
      </c>
      <c r="K1" s="67">
        <v>2019</v>
      </c>
      <c r="L1" s="67">
        <v>2020</v>
      </c>
      <c r="M1" s="67">
        <v>2021</v>
      </c>
    </row>
    <row r="2" spans="1:22" x14ac:dyDescent="0.3">
      <c r="A2" s="63"/>
    </row>
    <row r="3" spans="1:22" x14ac:dyDescent="0.3">
      <c r="A3" s="63"/>
    </row>
    <row r="4" spans="1:22" ht="18" x14ac:dyDescent="0.35">
      <c r="A4" s="62" t="s">
        <v>1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22" x14ac:dyDescent="0.3">
      <c r="A5" s="63" t="s">
        <v>2</v>
      </c>
      <c r="B5" t="s">
        <v>3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22" x14ac:dyDescent="0.3">
      <c r="A6" s="63" t="s">
        <v>4</v>
      </c>
      <c r="B6" t="s">
        <v>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22" x14ac:dyDescent="0.3">
      <c r="A7" s="63" t="s">
        <v>6</v>
      </c>
      <c r="B7" t="s">
        <v>7</v>
      </c>
      <c r="C7" s="35"/>
      <c r="D7" s="35"/>
      <c r="E7">
        <v>191176</v>
      </c>
      <c r="F7">
        <v>215238</v>
      </c>
      <c r="G7">
        <v>189807</v>
      </c>
      <c r="H7">
        <v>168325</v>
      </c>
      <c r="I7">
        <v>210971</v>
      </c>
      <c r="J7">
        <v>167700</v>
      </c>
      <c r="K7">
        <v>136799</v>
      </c>
      <c r="L7">
        <v>152798</v>
      </c>
      <c r="M7">
        <v>119370</v>
      </c>
      <c r="N7" s="35">
        <f>AVERAGE(E7:M7)</f>
        <v>172464.88888888888</v>
      </c>
      <c r="P7" s="87"/>
      <c r="Q7" s="87" t="s">
        <v>125</v>
      </c>
      <c r="R7" s="87" t="s">
        <v>121</v>
      </c>
      <c r="S7" s="87" t="s">
        <v>122</v>
      </c>
      <c r="T7" s="87" t="s">
        <v>27</v>
      </c>
      <c r="U7" s="87" t="s">
        <v>123</v>
      </c>
      <c r="V7" s="87" t="s">
        <v>124</v>
      </c>
    </row>
    <row r="8" spans="1:22" ht="18" x14ac:dyDescent="0.35">
      <c r="A8" s="62" t="s">
        <v>8</v>
      </c>
      <c r="B8">
        <f>Q8</f>
        <v>1600</v>
      </c>
      <c r="C8" s="35"/>
      <c r="D8" s="35"/>
      <c r="E8" s="35">
        <v>1300</v>
      </c>
      <c r="F8" s="35">
        <v>1300</v>
      </c>
      <c r="G8" s="35">
        <v>1300</v>
      </c>
      <c r="H8" s="35">
        <v>1300</v>
      </c>
      <c r="I8" s="35">
        <v>1300</v>
      </c>
      <c r="J8" s="35">
        <v>1300</v>
      </c>
      <c r="K8" s="35">
        <v>1300</v>
      </c>
      <c r="L8" s="35">
        <v>1300</v>
      </c>
      <c r="M8" s="35">
        <v>1300</v>
      </c>
      <c r="N8" s="35"/>
      <c r="P8" s="87" t="s">
        <v>8</v>
      </c>
      <c r="Q8" s="83">
        <v>1600</v>
      </c>
      <c r="R8" s="84">
        <f>C26</f>
        <v>697705208.36909926</v>
      </c>
      <c r="S8" s="84">
        <f>C55</f>
        <v>304459375.63566291</v>
      </c>
      <c r="T8" s="85">
        <f>C56</f>
        <v>0.56362748624545433</v>
      </c>
      <c r="U8" s="86">
        <f>C27</f>
        <v>0.45818507382926854</v>
      </c>
      <c r="V8" s="86">
        <f>C57</f>
        <v>0.2547241970984051</v>
      </c>
    </row>
    <row r="9" spans="1:22" x14ac:dyDescent="0.3">
      <c r="A9" s="63" t="s">
        <v>10</v>
      </c>
      <c r="B9" t="s">
        <v>11</v>
      </c>
      <c r="C9" s="35"/>
      <c r="D9" s="35"/>
      <c r="E9" s="35">
        <f t="shared" ref="E9:M9" si="0">E7*$B$8</f>
        <v>305881600</v>
      </c>
      <c r="F9" s="35">
        <f t="shared" si="0"/>
        <v>344380800</v>
      </c>
      <c r="G9" s="35">
        <f t="shared" si="0"/>
        <v>303691200</v>
      </c>
      <c r="H9" s="35">
        <f t="shared" si="0"/>
        <v>269320000</v>
      </c>
      <c r="I9" s="35">
        <f t="shared" si="0"/>
        <v>337553600</v>
      </c>
      <c r="J9" s="35">
        <f t="shared" si="0"/>
        <v>268320000</v>
      </c>
      <c r="K9" s="35">
        <f t="shared" si="0"/>
        <v>218878400</v>
      </c>
      <c r="L9" s="35">
        <f t="shared" si="0"/>
        <v>244476800</v>
      </c>
      <c r="M9" s="35">
        <f t="shared" si="0"/>
        <v>190992000</v>
      </c>
      <c r="N9" s="35"/>
      <c r="P9" s="87" t="s">
        <v>36</v>
      </c>
      <c r="Q9" s="86">
        <v>0.05</v>
      </c>
      <c r="R9" s="83"/>
      <c r="S9" s="83"/>
      <c r="T9" s="83"/>
      <c r="U9" s="83"/>
      <c r="V9" s="83"/>
    </row>
    <row r="10" spans="1:22" x14ac:dyDescent="0.3">
      <c r="A10" s="63" t="s">
        <v>35</v>
      </c>
      <c r="B10">
        <v>493.00614999999999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P10" s="87" t="s">
        <v>119</v>
      </c>
      <c r="Q10" s="85">
        <v>0.35</v>
      </c>
      <c r="R10" s="83"/>
      <c r="S10" s="83"/>
      <c r="T10" s="83"/>
      <c r="U10" s="83"/>
      <c r="V10" s="83"/>
    </row>
    <row r="11" spans="1:22" x14ac:dyDescent="0.3">
      <c r="A11" s="63" t="s">
        <v>36</v>
      </c>
      <c r="B11" s="19">
        <f>Q9</f>
        <v>0.05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P11" s="88" t="s">
        <v>120</v>
      </c>
      <c r="Q11" s="86">
        <v>0.04</v>
      </c>
      <c r="R11" s="83"/>
      <c r="S11" s="83"/>
      <c r="T11" s="83"/>
      <c r="U11" s="83"/>
      <c r="V11" s="83"/>
    </row>
    <row r="12" spans="1:22" x14ac:dyDescent="0.3">
      <c r="A12" s="63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</row>
    <row r="13" spans="1:22" ht="18" x14ac:dyDescent="0.35">
      <c r="A13" s="62" t="s">
        <v>12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7"/>
    </row>
    <row r="14" spans="1:22" x14ac:dyDescent="0.3">
      <c r="A14" s="64" t="s">
        <v>110</v>
      </c>
      <c r="B14" t="s">
        <v>11</v>
      </c>
      <c r="C14" s="35">
        <v>49760265</v>
      </c>
      <c r="D14" s="35">
        <v>116107284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22" x14ac:dyDescent="0.3">
      <c r="A15" s="64" t="s">
        <v>111</v>
      </c>
      <c r="C15" s="35">
        <v>23685527</v>
      </c>
      <c r="D15" s="35">
        <v>125300533</v>
      </c>
      <c r="E15" s="35">
        <v>11632917</v>
      </c>
      <c r="F15" s="35">
        <v>3722927</v>
      </c>
      <c r="G15" s="35">
        <v>18272647</v>
      </c>
      <c r="H15" s="35">
        <v>4482500</v>
      </c>
      <c r="I15" s="35">
        <v>2137128</v>
      </c>
      <c r="J15" s="35">
        <v>1103055</v>
      </c>
      <c r="K15" s="35">
        <v>4934651</v>
      </c>
      <c r="L15" s="35">
        <v>2727670</v>
      </c>
      <c r="M15" s="35">
        <v>542926</v>
      </c>
      <c r="N15" s="46"/>
    </row>
    <row r="16" spans="1:22" x14ac:dyDescent="0.3">
      <c r="A16" s="63" t="s">
        <v>113</v>
      </c>
      <c r="B16" t="s">
        <v>11</v>
      </c>
      <c r="C16" s="35">
        <v>0</v>
      </c>
      <c r="D16" s="35">
        <v>0</v>
      </c>
      <c r="E16" s="35">
        <v>1595000</v>
      </c>
      <c r="F16" s="35">
        <v>2708200</v>
      </c>
      <c r="G16" s="35">
        <v>249700</v>
      </c>
      <c r="H16" s="35">
        <v>2581553</v>
      </c>
      <c r="I16" s="35">
        <v>469553</v>
      </c>
      <c r="J16" s="35">
        <v>3654542</v>
      </c>
      <c r="K16" s="35">
        <v>249700</v>
      </c>
      <c r="L16" s="35">
        <v>106700</v>
      </c>
      <c r="M16" s="35">
        <v>0</v>
      </c>
      <c r="N16" s="35"/>
    </row>
    <row r="17" spans="1:15" x14ac:dyDescent="0.3">
      <c r="A17" s="64" t="s">
        <v>112</v>
      </c>
      <c r="B17" t="s">
        <v>11</v>
      </c>
      <c r="C17" s="35"/>
      <c r="D17" s="35"/>
      <c r="E17" s="35">
        <v>2830244</v>
      </c>
      <c r="F17" s="35">
        <v>3314368</v>
      </c>
      <c r="G17" s="35">
        <v>3215137</v>
      </c>
      <c r="H17" s="35">
        <v>3842412</v>
      </c>
      <c r="I17" s="35">
        <v>4018506</v>
      </c>
      <c r="J17" s="35">
        <v>2935298</v>
      </c>
      <c r="K17" s="35">
        <v>1813443</v>
      </c>
      <c r="L17" s="35">
        <v>1249254</v>
      </c>
      <c r="M17" s="35">
        <v>3165512</v>
      </c>
      <c r="N17" s="35"/>
    </row>
    <row r="18" spans="1:15" x14ac:dyDescent="0.3">
      <c r="A18" s="63" t="s">
        <v>13</v>
      </c>
      <c r="B18" t="s">
        <v>11</v>
      </c>
      <c r="C18" s="35">
        <f t="shared" ref="C18:M18" si="1">SUM(C14:C17)</f>
        <v>73445792</v>
      </c>
      <c r="D18" s="35">
        <f t="shared" si="1"/>
        <v>241407817</v>
      </c>
      <c r="E18" s="35">
        <f t="shared" si="1"/>
        <v>16058161</v>
      </c>
      <c r="F18" s="35">
        <f t="shared" si="1"/>
        <v>9745495</v>
      </c>
      <c r="G18" s="35">
        <f t="shared" si="1"/>
        <v>21737484</v>
      </c>
      <c r="H18" s="35">
        <f t="shared" si="1"/>
        <v>10906465</v>
      </c>
      <c r="I18" s="35">
        <f t="shared" si="1"/>
        <v>6625187</v>
      </c>
      <c r="J18" s="35">
        <f t="shared" si="1"/>
        <v>7692895</v>
      </c>
      <c r="K18" s="35">
        <f t="shared" si="1"/>
        <v>6997794</v>
      </c>
      <c r="L18" s="35">
        <f t="shared" si="1"/>
        <v>4083624</v>
      </c>
      <c r="M18" s="35">
        <f t="shared" si="1"/>
        <v>3708438</v>
      </c>
      <c r="N18" s="35"/>
      <c r="O18" s="51"/>
    </row>
    <row r="19" spans="1:15" x14ac:dyDescent="0.3">
      <c r="A19" s="63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1:15" ht="18" x14ac:dyDescent="0.35">
      <c r="A20" s="62" t="s">
        <v>14</v>
      </c>
      <c r="B20" t="s">
        <v>11</v>
      </c>
      <c r="C20" s="35">
        <v>0</v>
      </c>
      <c r="D20" s="35">
        <v>0</v>
      </c>
      <c r="E20" s="35">
        <v>115668594</v>
      </c>
      <c r="F20" s="35">
        <v>128519703</v>
      </c>
      <c r="G20" s="35">
        <v>131246978</v>
      </c>
      <c r="H20" s="35">
        <v>152348402</v>
      </c>
      <c r="I20" s="35">
        <v>157632470</v>
      </c>
      <c r="J20" s="35">
        <v>132358509</v>
      </c>
      <c r="K20" s="35">
        <v>107272479</v>
      </c>
      <c r="L20" s="35">
        <v>96975692</v>
      </c>
      <c r="M20" s="35">
        <v>9542514</v>
      </c>
      <c r="N20" s="35"/>
    </row>
    <row r="21" spans="1:15" ht="18" x14ac:dyDescent="0.35">
      <c r="A21" s="62" t="s">
        <v>15</v>
      </c>
      <c r="B21" t="s">
        <v>9</v>
      </c>
      <c r="C21" s="35"/>
      <c r="D21" s="35"/>
      <c r="E21" s="35">
        <f t="shared" ref="E21:M21" si="2">E20/E7</f>
        <v>605.03721178390595</v>
      </c>
      <c r="F21" s="35">
        <f t="shared" si="2"/>
        <v>597.10507902879601</v>
      </c>
      <c r="G21" s="35">
        <f t="shared" si="2"/>
        <v>691.47596242498958</v>
      </c>
      <c r="H21" s="35">
        <f t="shared" si="2"/>
        <v>905.08481806029999</v>
      </c>
      <c r="I21" s="35">
        <f t="shared" si="2"/>
        <v>747.17600997293471</v>
      </c>
      <c r="J21" s="35">
        <f t="shared" si="2"/>
        <v>789.25765652951702</v>
      </c>
      <c r="K21" s="35">
        <f t="shared" si="2"/>
        <v>784.1612804187165</v>
      </c>
      <c r="L21" s="35">
        <f t="shared" si="2"/>
        <v>634.66597730336787</v>
      </c>
      <c r="M21" s="35">
        <f t="shared" si="2"/>
        <v>79.94063835134456</v>
      </c>
      <c r="N21" s="35"/>
    </row>
    <row r="22" spans="1:15" x14ac:dyDescent="0.3">
      <c r="A22" s="63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52"/>
    </row>
    <row r="23" spans="1:15" x14ac:dyDescent="0.3">
      <c r="A23" s="63" t="s">
        <v>16</v>
      </c>
      <c r="C23" s="35">
        <f>C18+C20</f>
        <v>73445792</v>
      </c>
      <c r="D23" s="35">
        <f t="shared" ref="D23:M23" si="3">D18+D20</f>
        <v>241407817</v>
      </c>
      <c r="E23" s="35">
        <f t="shared" si="3"/>
        <v>131726755</v>
      </c>
      <c r="F23" s="35">
        <f t="shared" si="3"/>
        <v>138265198</v>
      </c>
      <c r="G23" s="35">
        <f t="shared" si="3"/>
        <v>152984462</v>
      </c>
      <c r="H23" s="35">
        <f t="shared" si="3"/>
        <v>163254867</v>
      </c>
      <c r="I23" s="35">
        <f t="shared" si="3"/>
        <v>164257657</v>
      </c>
      <c r="J23" s="35">
        <f t="shared" si="3"/>
        <v>140051404</v>
      </c>
      <c r="K23" s="35">
        <f t="shared" si="3"/>
        <v>114270273</v>
      </c>
      <c r="L23" s="35">
        <f t="shared" si="3"/>
        <v>101059316</v>
      </c>
      <c r="M23" s="35">
        <f t="shared" si="3"/>
        <v>13250952</v>
      </c>
      <c r="N23" s="35"/>
    </row>
    <row r="24" spans="1:15" x14ac:dyDescent="0.3">
      <c r="A24" s="63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1:15" x14ac:dyDescent="0.3">
      <c r="A25" s="63" t="s">
        <v>17</v>
      </c>
      <c r="C25" s="38">
        <f t="shared" ref="C25:M25" si="4">C9-C23</f>
        <v>-73445792</v>
      </c>
      <c r="D25" s="38">
        <f t="shared" si="4"/>
        <v>-241407817</v>
      </c>
      <c r="E25" s="38">
        <f t="shared" si="4"/>
        <v>174154845</v>
      </c>
      <c r="F25" s="38">
        <f t="shared" si="4"/>
        <v>206115602</v>
      </c>
      <c r="G25" s="38">
        <f t="shared" si="4"/>
        <v>150706738</v>
      </c>
      <c r="H25" s="38">
        <f t="shared" si="4"/>
        <v>106065133</v>
      </c>
      <c r="I25" s="38">
        <f t="shared" si="4"/>
        <v>173295943</v>
      </c>
      <c r="J25" s="38">
        <f t="shared" si="4"/>
        <v>128268596</v>
      </c>
      <c r="K25" s="38">
        <f t="shared" si="4"/>
        <v>104608127</v>
      </c>
      <c r="L25" s="38">
        <f t="shared" si="4"/>
        <v>143417484</v>
      </c>
      <c r="M25" s="38">
        <f t="shared" si="4"/>
        <v>177741048</v>
      </c>
      <c r="N25" s="38"/>
    </row>
    <row r="26" spans="1:15" x14ac:dyDescent="0.3">
      <c r="A26" s="63" t="s">
        <v>18</v>
      </c>
      <c r="C26" s="39">
        <f>NPV($B$11,C25:M25)</f>
        <v>697705208.36909926</v>
      </c>
    </row>
    <row r="27" spans="1:15" x14ac:dyDescent="0.3">
      <c r="A27" s="63" t="s">
        <v>19</v>
      </c>
      <c r="C27" s="19">
        <f>IRR(C25:M25)</f>
        <v>0.45818507382926854</v>
      </c>
      <c r="E27" s="19">
        <f>IRR($C$25:E25)</f>
        <v>-0.39130880088172382</v>
      </c>
      <c r="F27" s="19">
        <f>IRR($C$25:F25)</f>
        <v>0.11243079110208098</v>
      </c>
      <c r="G27" s="19">
        <f>IRR($C$25:G25)</f>
        <v>0.27689970400013508</v>
      </c>
      <c r="H27" s="19">
        <f>IRR($C$25:H25)</f>
        <v>0.34079760300658513</v>
      </c>
      <c r="I27" s="19">
        <f>IRR($C$25:I25)</f>
        <v>0.40012658741461915</v>
      </c>
      <c r="J27" s="19">
        <f>IRR($C$25:J25)</f>
        <v>0.42540793881104033</v>
      </c>
      <c r="K27" s="19">
        <f>IRR($C$25:K25)</f>
        <v>0.43824982681485536</v>
      </c>
      <c r="L27" s="19">
        <f>IRR($C$25:L25)</f>
        <v>0.44942431685371487</v>
      </c>
      <c r="M27" s="19">
        <f>IRR($C$25:M25)</f>
        <v>0.45818507382926854</v>
      </c>
    </row>
    <row r="28" spans="1:15" x14ac:dyDescent="0.3">
      <c r="A28" s="63"/>
      <c r="C28" s="19"/>
    </row>
    <row r="29" spans="1:15" x14ac:dyDescent="0.3">
      <c r="A29" s="63" t="s">
        <v>29</v>
      </c>
      <c r="B29">
        <v>5000000</v>
      </c>
      <c r="C29" s="40">
        <f>B29/B10</f>
        <v>10141.861313494772</v>
      </c>
    </row>
    <row r="30" spans="1:15" x14ac:dyDescent="0.3">
      <c r="A30" s="63"/>
      <c r="C30" s="19"/>
    </row>
    <row r="31" spans="1:15" x14ac:dyDescent="0.3">
      <c r="A31" s="63"/>
      <c r="C31" s="19"/>
    </row>
    <row r="32" spans="1:15" x14ac:dyDescent="0.3">
      <c r="A32" s="63" t="s">
        <v>30</v>
      </c>
      <c r="C32">
        <v>23.2</v>
      </c>
      <c r="D32">
        <v>23.2</v>
      </c>
      <c r="E32">
        <v>23.2</v>
      </c>
      <c r="F32">
        <v>23.2</v>
      </c>
      <c r="G32">
        <v>23.2</v>
      </c>
      <c r="H32">
        <v>23.2</v>
      </c>
      <c r="I32">
        <v>23.2</v>
      </c>
      <c r="J32">
        <v>23.2</v>
      </c>
      <c r="K32">
        <v>23.2</v>
      </c>
      <c r="L32">
        <v>23.2</v>
      </c>
      <c r="M32">
        <v>23.2</v>
      </c>
    </row>
    <row r="33" spans="1:13" x14ac:dyDescent="0.3">
      <c r="A33" s="63" t="s">
        <v>20</v>
      </c>
      <c r="C33">
        <f>('Données fiscales'!C58/'Modèle de base (CM 2003)'!$B$10)*'Modèle de base (CM 2003)'!C32</f>
        <v>352936.77370961802</v>
      </c>
      <c r="D33">
        <f>('Données fiscales'!D58/'Modèle de base (CM 2003)'!$B$10)*'Modèle de base (CM 2003)'!D32</f>
        <v>352936.77370961802</v>
      </c>
      <c r="E33">
        <f>('Données fiscales'!E58/'Modèle de base (CM 2003)'!$B$10)*'Modèle de base (CM 2003)'!E32</f>
        <v>352936.77370961802</v>
      </c>
      <c r="F33">
        <f>('Données fiscales'!F58/'Modèle de base (CM 2003)'!$B$10)*'Modèle de base (CM 2003)'!F32</f>
        <v>352936.77370961802</v>
      </c>
      <c r="G33">
        <f>('Données fiscales'!G58/'Modèle de base (CM 2003)'!$B$10)*'Modèle de base (CM 2003)'!G32</f>
        <v>352936.77370961802</v>
      </c>
      <c r="H33">
        <f>('Données fiscales'!H58/'Modèle de base (CM 2003)'!$B$10)*'Modèle de base (CM 2003)'!H32</f>
        <v>470582.36494615738</v>
      </c>
      <c r="I33">
        <f>('Données fiscales'!I58/'Modèle de base (CM 2003)'!$B$10)*'Modèle de base (CM 2003)'!I32</f>
        <v>470582.36494615738</v>
      </c>
      <c r="J33">
        <f>('Données fiscales'!J58/'Modèle de base (CM 2003)'!$B$10)*'Modèle de base (CM 2003)'!J32</f>
        <v>470582.36494615738</v>
      </c>
      <c r="K33">
        <f>('Données fiscales'!K58/'Modèle de base (CM 2003)'!$B$10)*'Modèle de base (CM 2003)'!K32</f>
        <v>470582.36494615738</v>
      </c>
      <c r="L33">
        <f>('Données fiscales'!L58/'Modèle de base (CM 2003)'!$B$10)*'Modèle de base (CM 2003)'!L32</f>
        <v>470582.36494615738</v>
      </c>
      <c r="M33">
        <f>('Données fiscales'!M58/'Modèle de base (CM 2003)'!$B$10)*'Modèle de base (CM 2003)'!M32</f>
        <v>705873.54741923604</v>
      </c>
    </row>
    <row r="34" spans="1:13" x14ac:dyDescent="0.3">
      <c r="A34" s="63"/>
    </row>
    <row r="35" spans="1:13" x14ac:dyDescent="0.3">
      <c r="A35" s="63" t="s">
        <v>32</v>
      </c>
    </row>
    <row r="36" spans="1:13" x14ac:dyDescent="0.3">
      <c r="A36" s="63" t="s">
        <v>33</v>
      </c>
      <c r="B36" s="19">
        <f>Q11</f>
        <v>0.04</v>
      </c>
      <c r="E36" s="19">
        <f>'Données fiscales'!E59</f>
        <v>0.04</v>
      </c>
      <c r="F36" s="19">
        <f>'Données fiscales'!F59</f>
        <v>0.04</v>
      </c>
      <c r="G36" s="19">
        <f>'Données fiscales'!G59</f>
        <v>0.04</v>
      </c>
      <c r="H36" s="19">
        <f>'Données fiscales'!H59</f>
        <v>0.04</v>
      </c>
      <c r="I36" s="19">
        <f>'Données fiscales'!I59</f>
        <v>0.04</v>
      </c>
      <c r="J36" s="19">
        <f>'Données fiscales'!J59</f>
        <v>0.04</v>
      </c>
      <c r="K36" s="19">
        <f>'Données fiscales'!K59</f>
        <v>0.04</v>
      </c>
      <c r="L36" s="19">
        <f>'Données fiscales'!L59</f>
        <v>0.04</v>
      </c>
      <c r="M36" s="19">
        <f>'Données fiscales'!M59</f>
        <v>0.04</v>
      </c>
    </row>
    <row r="37" spans="1:13" x14ac:dyDescent="0.3">
      <c r="A37" s="63" t="s">
        <v>31</v>
      </c>
      <c r="C37" s="41">
        <f t="shared" ref="C37:M37" si="5">$B$36*C9</f>
        <v>0</v>
      </c>
      <c r="D37" s="41">
        <f t="shared" si="5"/>
        <v>0</v>
      </c>
      <c r="E37" s="41">
        <f t="shared" si="5"/>
        <v>12235264</v>
      </c>
      <c r="F37" s="41">
        <f t="shared" si="5"/>
        <v>13775232</v>
      </c>
      <c r="G37" s="41">
        <f t="shared" si="5"/>
        <v>12147648</v>
      </c>
      <c r="H37" s="41">
        <f t="shared" si="5"/>
        <v>10772800</v>
      </c>
      <c r="I37" s="41">
        <f t="shared" si="5"/>
        <v>13502144</v>
      </c>
      <c r="J37" s="41">
        <f t="shared" si="5"/>
        <v>10732800</v>
      </c>
      <c r="K37" s="41">
        <f t="shared" si="5"/>
        <v>8755136</v>
      </c>
      <c r="L37" s="41">
        <f t="shared" si="5"/>
        <v>9779072</v>
      </c>
      <c r="M37" s="41">
        <f t="shared" si="5"/>
        <v>7639680</v>
      </c>
    </row>
    <row r="38" spans="1:13" x14ac:dyDescent="0.3">
      <c r="A38" s="63"/>
    </row>
    <row r="39" spans="1:13" x14ac:dyDescent="0.3">
      <c r="A39" s="63" t="s">
        <v>34</v>
      </c>
      <c r="C39">
        <f>Amortissement!C122</f>
        <v>14450237.300000001</v>
      </c>
      <c r="D39">
        <f>Amortissement!D122</f>
        <v>72391494.580000013</v>
      </c>
      <c r="E39">
        <f>Amortissement!E122</f>
        <v>54722765.508000001</v>
      </c>
      <c r="F39">
        <f>Amortissement!F122</f>
        <v>41469139.447999999</v>
      </c>
      <c r="G39">
        <f>Amortissement!G122</f>
        <v>42554950.707999997</v>
      </c>
      <c r="H39">
        <f>Amortissement!H122</f>
        <v>38090104.267999992</v>
      </c>
      <c r="I39">
        <f>Amortissement!I122</f>
        <v>22807098.419999998</v>
      </c>
      <c r="J39">
        <f>Amortissement!J122</f>
        <v>20561889.611999996</v>
      </c>
      <c r="K39">
        <f>Amortissement!K122</f>
        <v>21590650.807999998</v>
      </c>
      <c r="L39">
        <f>Amortissement!L122</f>
        <v>20344454.923999999</v>
      </c>
      <c r="M39">
        <f>Amortissement!M122</f>
        <v>15427244.423999999</v>
      </c>
    </row>
    <row r="40" spans="1:13" x14ac:dyDescent="0.3">
      <c r="A40" s="63"/>
    </row>
    <row r="41" spans="1:13" x14ac:dyDescent="0.3">
      <c r="A41" s="63" t="s">
        <v>21</v>
      </c>
      <c r="C41" s="42">
        <f t="shared" ref="C41:M41" si="6">C$9-(C$23+C$29+C$33+C$37+C$39)</f>
        <v>-88259107.935023114</v>
      </c>
      <c r="D41" s="42">
        <f t="shared" si="6"/>
        <v>-314152248.35370964</v>
      </c>
      <c r="E41" s="42">
        <f t="shared" si="6"/>
        <v>106843878.71829039</v>
      </c>
      <c r="F41" s="42">
        <f t="shared" si="6"/>
        <v>150518293.77829039</v>
      </c>
      <c r="G41" s="42">
        <f t="shared" si="6"/>
        <v>95651202.518290371</v>
      </c>
      <c r="H41" s="42">
        <f t="shared" si="6"/>
        <v>56731646.367053866</v>
      </c>
      <c r="I41" s="42">
        <f t="shared" si="6"/>
        <v>136516118.21505386</v>
      </c>
      <c r="J41" s="42">
        <f t="shared" si="6"/>
        <v>96503324.023053855</v>
      </c>
      <c r="K41" s="42">
        <f t="shared" si="6"/>
        <v>73791757.827053845</v>
      </c>
      <c r="L41" s="42">
        <f t="shared" si="6"/>
        <v>112823374.71105385</v>
      </c>
      <c r="M41" s="42">
        <f t="shared" si="6"/>
        <v>153968250.02858078</v>
      </c>
    </row>
    <row r="42" spans="1:13" x14ac:dyDescent="0.3">
      <c r="A42" s="63" t="s">
        <v>22</v>
      </c>
      <c r="B42" s="36">
        <f>Q10</f>
        <v>0.35</v>
      </c>
      <c r="E42" s="36">
        <f>'Données fiscales'!E35</f>
        <v>0.17499999999999999</v>
      </c>
      <c r="F42" s="36">
        <f>'Données fiscales'!F35</f>
        <v>0.17499999999999999</v>
      </c>
      <c r="G42" s="36">
        <f>'Données fiscales'!G35</f>
        <v>0.17499999999999999</v>
      </c>
      <c r="H42" s="36">
        <f>'Données fiscales'!H35</f>
        <v>0.17499999999999999</v>
      </c>
      <c r="I42" s="36">
        <f>'Données fiscales'!I35</f>
        <v>0.17499999999999999</v>
      </c>
      <c r="J42" s="36">
        <f>'Données fiscales'!J35</f>
        <v>0.17499999999999999</v>
      </c>
      <c r="K42" s="36">
        <f>'Données fiscales'!K35</f>
        <v>0.17499999999999999</v>
      </c>
      <c r="L42" s="36">
        <f>'Données fiscales'!L35</f>
        <v>0.17499999999999999</v>
      </c>
      <c r="M42" s="36">
        <f>'Données fiscales'!M35</f>
        <v>0.17499999999999999</v>
      </c>
    </row>
    <row r="43" spans="1:13" x14ac:dyDescent="0.3">
      <c r="A43" s="63" t="s">
        <v>23</v>
      </c>
      <c r="J43" s="41">
        <f>0.5%*J9</f>
        <v>1341600</v>
      </c>
      <c r="K43" s="41">
        <f>0.5%*K9</f>
        <v>1094392</v>
      </c>
      <c r="L43" s="41">
        <f>0.5%*L9</f>
        <v>1222384</v>
      </c>
      <c r="M43" s="41">
        <f>0.5%*M9</f>
        <v>954960</v>
      </c>
    </row>
    <row r="44" spans="1:13" x14ac:dyDescent="0.3">
      <c r="A44" s="63" t="s">
        <v>24</v>
      </c>
      <c r="C44">
        <f>IF(C$41*$B$42&gt;C$43,C$41*$B$42,C$43)</f>
        <v>0</v>
      </c>
      <c r="D44">
        <f t="shared" ref="D44:M44" si="7">IF(D$41*$B$42&gt;D$43,D$41*$B$42,D$43)</f>
        <v>0</v>
      </c>
      <c r="E44">
        <f t="shared" si="7"/>
        <v>37395357.55140163</v>
      </c>
      <c r="F44">
        <f t="shared" si="7"/>
        <v>52681402.822401635</v>
      </c>
      <c r="G44">
        <f t="shared" si="7"/>
        <v>33477920.881401628</v>
      </c>
      <c r="H44">
        <f t="shared" si="7"/>
        <v>19856076.22846885</v>
      </c>
      <c r="I44">
        <f t="shared" si="7"/>
        <v>47780641.375268847</v>
      </c>
      <c r="J44">
        <f t="shared" si="7"/>
        <v>33776163.408068851</v>
      </c>
      <c r="K44">
        <f t="shared" si="7"/>
        <v>25827115.239468843</v>
      </c>
      <c r="L44">
        <f t="shared" si="7"/>
        <v>39488181.148868844</v>
      </c>
      <c r="M44">
        <f t="shared" si="7"/>
        <v>53888887.510003269</v>
      </c>
    </row>
    <row r="45" spans="1:13" x14ac:dyDescent="0.3">
      <c r="A45" s="63"/>
    </row>
    <row r="46" spans="1:13" x14ac:dyDescent="0.3">
      <c r="A46" s="63" t="s">
        <v>37</v>
      </c>
      <c r="C46" s="42">
        <f>C41-C44</f>
        <v>-88259107.935023114</v>
      </c>
      <c r="D46" s="42">
        <f t="shared" ref="D46:M46" si="8">D41-D44</f>
        <v>-314152248.35370964</v>
      </c>
      <c r="E46" s="42">
        <f t="shared" si="8"/>
        <v>69448521.166888759</v>
      </c>
      <c r="F46" s="42">
        <f t="shared" si="8"/>
        <v>97836890.955888748</v>
      </c>
      <c r="G46" s="42">
        <f t="shared" si="8"/>
        <v>62173281.636888742</v>
      </c>
      <c r="H46" s="42">
        <f t="shared" si="8"/>
        <v>36875570.138585016</v>
      </c>
      <c r="I46" s="42">
        <f t="shared" si="8"/>
        <v>88735476.83978501</v>
      </c>
      <c r="J46" s="42">
        <f t="shared" si="8"/>
        <v>62727160.614985004</v>
      </c>
      <c r="K46" s="42">
        <f t="shared" si="8"/>
        <v>47964642.587585002</v>
      </c>
      <c r="L46" s="42">
        <f t="shared" si="8"/>
        <v>73335193.562185004</v>
      </c>
      <c r="M46" s="42">
        <f t="shared" si="8"/>
        <v>100079362.51857752</v>
      </c>
    </row>
    <row r="47" spans="1:13" x14ac:dyDescent="0.3">
      <c r="A47" s="65" t="s">
        <v>38</v>
      </c>
      <c r="B47" s="19">
        <v>0.1</v>
      </c>
    </row>
    <row r="48" spans="1:13" x14ac:dyDescent="0.3">
      <c r="A48" s="65" t="s">
        <v>39</v>
      </c>
      <c r="C48">
        <f>IF(C46&gt;0,C46*$B$47,0)</f>
        <v>0</v>
      </c>
      <c r="D48">
        <f t="shared" ref="D48:M48" si="9">IF(D46&gt;0,D46*$B$47,0)</f>
        <v>0</v>
      </c>
      <c r="E48">
        <f t="shared" si="9"/>
        <v>6944852.1166888764</v>
      </c>
      <c r="F48">
        <f t="shared" si="9"/>
        <v>9783689.0955888759</v>
      </c>
      <c r="G48">
        <f t="shared" si="9"/>
        <v>6217328.1636888748</v>
      </c>
      <c r="H48">
        <f t="shared" si="9"/>
        <v>3687557.0138585018</v>
      </c>
      <c r="I48">
        <f t="shared" si="9"/>
        <v>8873547.6839785017</v>
      </c>
      <c r="J48">
        <f t="shared" si="9"/>
        <v>6272716.0614985004</v>
      </c>
      <c r="K48">
        <f t="shared" si="9"/>
        <v>4796464.2587585002</v>
      </c>
      <c r="L48">
        <f t="shared" si="9"/>
        <v>7333519.356218501</v>
      </c>
      <c r="M48">
        <f t="shared" si="9"/>
        <v>10007936.251857752</v>
      </c>
    </row>
    <row r="49" spans="1:14" x14ac:dyDescent="0.3">
      <c r="A49" s="65" t="s">
        <v>40</v>
      </c>
      <c r="C49" s="42">
        <f>C46-C48</f>
        <v>-88259107.935023114</v>
      </c>
      <c r="D49" s="42">
        <f t="shared" ref="D49:M49" si="10">D46-D48</f>
        <v>-314152248.35370964</v>
      </c>
      <c r="E49" s="42">
        <f t="shared" si="10"/>
        <v>62503669.050199881</v>
      </c>
      <c r="F49" s="42">
        <f t="shared" si="10"/>
        <v>88053201.86029987</v>
      </c>
      <c r="G49" s="42">
        <f t="shared" si="10"/>
        <v>55955953.473199867</v>
      </c>
      <c r="H49" s="42">
        <f t="shared" si="10"/>
        <v>33188013.124726515</v>
      </c>
      <c r="I49" s="42">
        <f t="shared" si="10"/>
        <v>79861929.155806512</v>
      </c>
      <c r="J49" s="42">
        <f t="shared" si="10"/>
        <v>56454444.553486504</v>
      </c>
      <c r="K49" s="42">
        <f t="shared" si="10"/>
        <v>43168178.328826502</v>
      </c>
      <c r="L49" s="42">
        <f t="shared" si="10"/>
        <v>66001674.205966502</v>
      </c>
      <c r="M49" s="42">
        <f t="shared" si="10"/>
        <v>90071426.266719759</v>
      </c>
    </row>
    <row r="50" spans="1:14" x14ac:dyDescent="0.3">
      <c r="A50" s="65" t="s">
        <v>41</v>
      </c>
      <c r="C50">
        <f>IF(C49&gt;0,C49*'Données fiscales'!C40,0)</f>
        <v>0</v>
      </c>
      <c r="D50">
        <f>IF(D49&gt;0,D49*'Données fiscales'!D40,0)</f>
        <v>0</v>
      </c>
      <c r="E50">
        <f>IF(E49&gt;0,E49*'Données fiscales'!E40,0)</f>
        <v>3906479.3156374926</v>
      </c>
      <c r="F50">
        <f>IF(F49&gt;0,F49*'Données fiscales'!F40,0)</f>
        <v>5503325.1162687419</v>
      </c>
      <c r="G50">
        <f>IF(G49&gt;0,G49*'Données fiscales'!G40,0)</f>
        <v>3497247.0920749917</v>
      </c>
      <c r="H50">
        <f>IF(H49&gt;0,H49*'Données fiscales'!H40,0)</f>
        <v>2074250.8202954072</v>
      </c>
      <c r="I50">
        <f>IF(I49&gt;0,I49*'Données fiscales'!I40,0)</f>
        <v>4991370.572237907</v>
      </c>
      <c r="J50">
        <f>IF(J49&gt;0,J49*'Données fiscales'!J40,0)</f>
        <v>3528402.7845929065</v>
      </c>
      <c r="K50">
        <f>IF(K49&gt;0,K49*'Données fiscales'!K40,0)</f>
        <v>2698011.1455516564</v>
      </c>
      <c r="L50">
        <f>IF(L49&gt;0,L49*'Données fiscales'!L40,0)</f>
        <v>4125104.6378729064</v>
      </c>
      <c r="M50">
        <f>IF(M49&gt;0,M49*'Données fiscales'!M40,0)</f>
        <v>5629464.1416699849</v>
      </c>
    </row>
    <row r="51" spans="1:14" x14ac:dyDescent="0.3">
      <c r="A51" s="65"/>
    </row>
    <row r="52" spans="1:14" x14ac:dyDescent="0.3">
      <c r="A52" s="63"/>
    </row>
    <row r="53" spans="1:14" ht="15" thickBot="1" x14ac:dyDescent="0.35">
      <c r="A53" s="66" t="s">
        <v>42</v>
      </c>
      <c r="C53" s="42">
        <f>C$29+C$33+C$37+C$44+C$48+C$50</f>
        <v>363078.63502311282</v>
      </c>
      <c r="D53" s="42">
        <f t="shared" ref="D53:M53" si="11">D$29+D$33+D$37+D$44+D$48+D$50</f>
        <v>352936.77370961802</v>
      </c>
      <c r="E53" s="42">
        <f t="shared" si="11"/>
        <v>60834889.757437617</v>
      </c>
      <c r="F53" s="42">
        <f t="shared" si="11"/>
        <v>82096585.80796887</v>
      </c>
      <c r="G53" s="42">
        <f t="shared" si="11"/>
        <v>55693080.910875112</v>
      </c>
      <c r="H53" s="42">
        <f t="shared" si="11"/>
        <v>36861266.42756892</v>
      </c>
      <c r="I53" s="42">
        <f t="shared" si="11"/>
        <v>75618285.99643141</v>
      </c>
      <c r="J53" s="42">
        <f t="shared" si="11"/>
        <v>54780664.619106412</v>
      </c>
      <c r="K53" s="42">
        <f t="shared" si="11"/>
        <v>42547309.008725159</v>
      </c>
      <c r="L53" s="42">
        <f t="shared" si="11"/>
        <v>61196459.507906407</v>
      </c>
      <c r="M53" s="42">
        <f t="shared" si="11"/>
        <v>77871841.45095025</v>
      </c>
      <c r="N53" s="42"/>
    </row>
    <row r="54" spans="1:14" x14ac:dyDescent="0.3">
      <c r="A54" s="63" t="s">
        <v>25</v>
      </c>
      <c r="C54" s="42">
        <f>C25-C53</f>
        <v>-73808870.635023117</v>
      </c>
      <c r="D54" s="42">
        <f t="shared" ref="D54:M54" si="12">D25-D53</f>
        <v>-241760753.77370963</v>
      </c>
      <c r="E54" s="42">
        <f t="shared" si="12"/>
        <v>113319955.24256238</v>
      </c>
      <c r="F54" s="42">
        <f t="shared" si="12"/>
        <v>124019016.19203113</v>
      </c>
      <c r="G54" s="42">
        <f t="shared" si="12"/>
        <v>95013657.089124888</v>
      </c>
      <c r="H54" s="42">
        <f t="shared" si="12"/>
        <v>69203866.572431087</v>
      </c>
      <c r="I54" s="42">
        <f t="shared" si="12"/>
        <v>97677657.00356859</v>
      </c>
      <c r="J54" s="42">
        <f t="shared" si="12"/>
        <v>73487931.380893588</v>
      </c>
      <c r="K54" s="42">
        <f t="shared" si="12"/>
        <v>62060817.991274841</v>
      </c>
      <c r="L54" s="42">
        <f t="shared" si="12"/>
        <v>82221024.492093593</v>
      </c>
      <c r="M54" s="42">
        <f t="shared" si="12"/>
        <v>99869206.54904975</v>
      </c>
    </row>
    <row r="55" spans="1:14" x14ac:dyDescent="0.3">
      <c r="A55" s="63" t="s">
        <v>26</v>
      </c>
      <c r="C55" s="39">
        <f>NPV($B$11,C54:M54)</f>
        <v>304459375.63566291</v>
      </c>
    </row>
    <row r="56" spans="1:14" x14ac:dyDescent="0.3">
      <c r="A56" s="63" t="s">
        <v>27</v>
      </c>
      <c r="C56" s="45">
        <f>1-(C55/C26)</f>
        <v>0.56362748624545433</v>
      </c>
    </row>
    <row r="57" spans="1:14" x14ac:dyDescent="0.3">
      <c r="A57" s="63" t="s">
        <v>28</v>
      </c>
      <c r="C57" s="19">
        <f>IRR(C54:M54)</f>
        <v>0.2547241970984051</v>
      </c>
      <c r="D57" s="19"/>
      <c r="E57" s="19"/>
      <c r="F57" s="19">
        <f>IRR($C$54:F54)</f>
        <v>-0.14925550203122595</v>
      </c>
      <c r="G57" s="19">
        <f>IRR($C$54:G54)</f>
        <v>2.4126629486718176E-2</v>
      </c>
      <c r="H57" s="19">
        <f>IRR($C$54:H54)</f>
        <v>0.10169092418588854</v>
      </c>
      <c r="I57" s="19">
        <f>IRR($C$54:I54)</f>
        <v>0.17018121739632086</v>
      </c>
      <c r="J57" s="19">
        <f>IRR($C$54:J54)</f>
        <v>0.20296263467627296</v>
      </c>
      <c r="K57" s="19">
        <f>IRR($C$54:K54)</f>
        <v>0.22211529997727708</v>
      </c>
      <c r="L57" s="19">
        <f>IRR($C$54:L54)</f>
        <v>0.2398636336929989</v>
      </c>
      <c r="M57" s="19">
        <f>IRR($C$54:M54)</f>
        <v>0.2547241970984051</v>
      </c>
    </row>
    <row r="58" spans="1:14" x14ac:dyDescent="0.3">
      <c r="A58" s="63" t="s">
        <v>40</v>
      </c>
      <c r="C58" s="36">
        <f>1-C56</f>
        <v>0.43637251375454567</v>
      </c>
    </row>
    <row r="61" spans="1:14" x14ac:dyDescent="0.3">
      <c r="A61" s="20"/>
    </row>
    <row r="62" spans="1:14" x14ac:dyDescent="0.3">
      <c r="E62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837B-325C-412B-A995-8F17258E4FF5}">
  <sheetPr>
    <tabColor rgb="FFFFFF00"/>
  </sheetPr>
  <dimension ref="A1:V61"/>
  <sheetViews>
    <sheetView workbookViewId="0">
      <pane xSplit="1" topLeftCell="M1" activePane="topRight" state="frozen"/>
      <selection activeCell="A45" sqref="A45"/>
      <selection pane="topRight" activeCell="P20" sqref="P20"/>
    </sheetView>
  </sheetViews>
  <sheetFormatPr baseColWidth="10" defaultRowHeight="14.4" x14ac:dyDescent="0.3"/>
  <cols>
    <col min="1" max="1" width="54.88671875" bestFit="1" customWidth="1"/>
    <col min="3" max="13" width="14.6640625" bestFit="1" customWidth="1"/>
    <col min="16" max="16" width="29.6640625" bestFit="1" customWidth="1"/>
    <col min="18" max="18" width="13.33203125" bestFit="1" customWidth="1"/>
    <col min="19" max="19" width="13.109375" bestFit="1" customWidth="1"/>
  </cols>
  <sheetData>
    <row r="1" spans="1:22" ht="18" x14ac:dyDescent="0.35">
      <c r="A1" s="77" t="s">
        <v>211</v>
      </c>
      <c r="B1" t="s">
        <v>0</v>
      </c>
      <c r="C1">
        <f>'Modèle de base (CM 2003)'!C1</f>
        <v>2011</v>
      </c>
      <c r="D1">
        <f>'Modèle de base (CM 2003)'!D1</f>
        <v>2012</v>
      </c>
      <c r="E1">
        <f>'Modèle de base (CM 2003)'!E1</f>
        <v>2013</v>
      </c>
      <c r="F1">
        <f>'Modèle de base (CM 2003)'!F1</f>
        <v>2014</v>
      </c>
      <c r="G1">
        <f>'Modèle de base (CM 2003)'!G1</f>
        <v>2015</v>
      </c>
      <c r="H1">
        <f>'Modèle de base (CM 2003)'!H1</f>
        <v>2016</v>
      </c>
      <c r="I1">
        <f>'Modèle de base (CM 2003)'!I1</f>
        <v>2017</v>
      </c>
      <c r="J1">
        <f>'Modèle de base (CM 2003)'!J1</f>
        <v>2018</v>
      </c>
      <c r="K1">
        <f>'Modèle de base (CM 2003)'!K1</f>
        <v>2019</v>
      </c>
      <c r="L1">
        <f>'Modèle de base (CM 2003)'!L1</f>
        <v>2020</v>
      </c>
      <c r="M1">
        <f>'Modèle de base (CM 2003)'!M1</f>
        <v>2021</v>
      </c>
    </row>
    <row r="2" spans="1:22" x14ac:dyDescent="0.3">
      <c r="A2" s="78"/>
      <c r="C2" s="35">
        <f>'Modèle de base (CM 2003)'!C2</f>
        <v>0</v>
      </c>
      <c r="D2" s="35">
        <f>'Modèle de base (CM 2003)'!D2</f>
        <v>0</v>
      </c>
      <c r="E2" s="35">
        <f>'Modèle de base (CM 2003)'!E2</f>
        <v>0</v>
      </c>
      <c r="F2" s="35">
        <f>'Modèle de base (CM 2003)'!F2</f>
        <v>0</v>
      </c>
      <c r="G2" s="35">
        <f>'Modèle de base (CM 2003)'!G2</f>
        <v>0</v>
      </c>
      <c r="H2" s="35">
        <f>'Modèle de base (CM 2003)'!H2</f>
        <v>0</v>
      </c>
      <c r="I2" s="35">
        <f>'Modèle de base (CM 2003)'!I2</f>
        <v>0</v>
      </c>
      <c r="J2" s="35">
        <f>'Modèle de base (CM 2003)'!J2</f>
        <v>0</v>
      </c>
      <c r="K2" s="35">
        <f>'Modèle de base (CM 2003)'!K2</f>
        <v>0</v>
      </c>
      <c r="L2" s="35">
        <f>'Modèle de base (CM 2003)'!L2</f>
        <v>0</v>
      </c>
      <c r="M2" s="35">
        <f>'Modèle de base (CM 2003)'!M2</f>
        <v>0</v>
      </c>
    </row>
    <row r="3" spans="1:22" x14ac:dyDescent="0.3">
      <c r="A3" s="78"/>
      <c r="C3" s="35">
        <f>'Modèle de base (CM 2003)'!C3</f>
        <v>0</v>
      </c>
      <c r="D3" s="35">
        <f>'Modèle de base (CM 2003)'!D3</f>
        <v>0</v>
      </c>
      <c r="E3" s="35">
        <f>'Modèle de base (CM 2003)'!E3</f>
        <v>0</v>
      </c>
      <c r="F3" s="35">
        <f>'Modèle de base (CM 2003)'!F3</f>
        <v>0</v>
      </c>
      <c r="G3" s="35">
        <f>'Modèle de base (CM 2003)'!G3</f>
        <v>0</v>
      </c>
      <c r="H3" s="35">
        <f>'Modèle de base (CM 2003)'!H3</f>
        <v>0</v>
      </c>
      <c r="I3" s="35">
        <f>'Modèle de base (CM 2003)'!I3</f>
        <v>0</v>
      </c>
      <c r="J3" s="35">
        <f>'Modèle de base (CM 2003)'!J3</f>
        <v>0</v>
      </c>
      <c r="K3" s="35">
        <f>'Modèle de base (CM 2003)'!K3</f>
        <v>0</v>
      </c>
      <c r="L3" s="35">
        <f>'Modèle de base (CM 2003)'!L3</f>
        <v>0</v>
      </c>
      <c r="M3" s="35">
        <f>'Modèle de base (CM 2003)'!M3</f>
        <v>0</v>
      </c>
    </row>
    <row r="4" spans="1:22" ht="18" x14ac:dyDescent="0.35">
      <c r="A4" s="77" t="s">
        <v>1</v>
      </c>
      <c r="C4" s="35">
        <f>'Modèle de base (CM 2003)'!C4</f>
        <v>0</v>
      </c>
      <c r="D4" s="35">
        <f>'Modèle de base (CM 2003)'!D4</f>
        <v>0</v>
      </c>
      <c r="E4" s="35">
        <f>'Modèle de base (CM 2003)'!E4</f>
        <v>0</v>
      </c>
      <c r="F4" s="35">
        <f>'Modèle de base (CM 2003)'!F4</f>
        <v>0</v>
      </c>
      <c r="G4" s="35">
        <f>'Modèle de base (CM 2003)'!G4</f>
        <v>0</v>
      </c>
      <c r="H4" s="35">
        <f>'Modèle de base (CM 2003)'!H4</f>
        <v>0</v>
      </c>
      <c r="I4" s="35">
        <f>'Modèle de base (CM 2003)'!I4</f>
        <v>0</v>
      </c>
      <c r="J4" s="35">
        <f>'Modèle de base (CM 2003)'!J4</f>
        <v>0</v>
      </c>
      <c r="K4" s="35">
        <f>'Modèle de base (CM 2003)'!K4</f>
        <v>0</v>
      </c>
      <c r="L4" s="35">
        <f>'Modèle de base (CM 2003)'!L4</f>
        <v>0</v>
      </c>
      <c r="M4" s="35">
        <f>'Modèle de base (CM 2003)'!M4</f>
        <v>0</v>
      </c>
    </row>
    <row r="5" spans="1:22" x14ac:dyDescent="0.3">
      <c r="A5" s="78" t="s">
        <v>2</v>
      </c>
      <c r="B5" t="s">
        <v>3</v>
      </c>
      <c r="C5" s="35">
        <f>'Modèle de base (CM 2003)'!C5</f>
        <v>0</v>
      </c>
      <c r="D5" s="35">
        <f>'Modèle de base (CM 2003)'!D5</f>
        <v>0</v>
      </c>
      <c r="E5" s="35">
        <f>'Modèle de base (CM 2003)'!E5</f>
        <v>0</v>
      </c>
      <c r="F5" s="35">
        <f>'Modèle de base (CM 2003)'!F5</f>
        <v>0</v>
      </c>
      <c r="G5" s="35">
        <f>'Modèle de base (CM 2003)'!G5</f>
        <v>0</v>
      </c>
      <c r="H5" s="35">
        <f>'Modèle de base (CM 2003)'!H5</f>
        <v>0</v>
      </c>
      <c r="I5" s="35">
        <f>'Modèle de base (CM 2003)'!I5</f>
        <v>0</v>
      </c>
      <c r="J5" s="35">
        <f>'Modèle de base (CM 2003)'!J5</f>
        <v>0</v>
      </c>
      <c r="K5" s="35">
        <f>'Modèle de base (CM 2003)'!K5</f>
        <v>0</v>
      </c>
      <c r="L5" s="35">
        <f>'Modèle de base (CM 2003)'!L5</f>
        <v>0</v>
      </c>
      <c r="M5" s="35">
        <f>'Modèle de base (CM 2003)'!M5</f>
        <v>0</v>
      </c>
    </row>
    <row r="6" spans="1:22" x14ac:dyDescent="0.3">
      <c r="A6" s="78" t="s">
        <v>4</v>
      </c>
      <c r="B6" t="s">
        <v>5</v>
      </c>
      <c r="C6" s="35">
        <f>'Modèle de base (CM 2003)'!C6</f>
        <v>0</v>
      </c>
      <c r="D6" s="35">
        <f>'Modèle de base (CM 2003)'!D6</f>
        <v>0</v>
      </c>
      <c r="E6" s="35">
        <f>'Modèle de base (CM 2003)'!E6</f>
        <v>0</v>
      </c>
      <c r="F6" s="35">
        <f>'Modèle de base (CM 2003)'!F6</f>
        <v>0</v>
      </c>
      <c r="G6" s="35">
        <f>'Modèle de base (CM 2003)'!G6</f>
        <v>0</v>
      </c>
      <c r="H6" s="35">
        <f>'Modèle de base (CM 2003)'!H6</f>
        <v>0</v>
      </c>
      <c r="I6" s="35">
        <f>'Modèle de base (CM 2003)'!I6</f>
        <v>0</v>
      </c>
      <c r="J6" s="35">
        <f>'Modèle de base (CM 2003)'!J6</f>
        <v>0</v>
      </c>
      <c r="K6" s="35">
        <f>'Modèle de base (CM 2003)'!K6</f>
        <v>0</v>
      </c>
      <c r="L6" s="35">
        <f>'Modèle de base (CM 2003)'!L6</f>
        <v>0</v>
      </c>
      <c r="M6" s="35">
        <f>'Modèle de base (CM 2003)'!M6</f>
        <v>0</v>
      </c>
    </row>
    <row r="7" spans="1:22" x14ac:dyDescent="0.3">
      <c r="A7" s="78" t="s">
        <v>6</v>
      </c>
      <c r="B7" t="s">
        <v>7</v>
      </c>
      <c r="C7" s="35">
        <f>'Modèle de base (CM 2003)'!C7</f>
        <v>0</v>
      </c>
      <c r="D7" s="35">
        <f>'Modèle de base (CM 2003)'!D7</f>
        <v>0</v>
      </c>
      <c r="E7" s="35">
        <f>'Modèle de base (CM 2003)'!E7</f>
        <v>191176</v>
      </c>
      <c r="F7" s="35">
        <f>'Modèle de base (CM 2003)'!F7</f>
        <v>215238</v>
      </c>
      <c r="G7" s="35">
        <f>'Modèle de base (CM 2003)'!G7</f>
        <v>189807</v>
      </c>
      <c r="H7" s="35">
        <f>'Modèle de base (CM 2003)'!H7</f>
        <v>168325</v>
      </c>
      <c r="I7" s="35">
        <f>'Modèle de base (CM 2003)'!I7</f>
        <v>210971</v>
      </c>
      <c r="J7" s="35">
        <f>'Modèle de base (CM 2003)'!J7</f>
        <v>167700</v>
      </c>
      <c r="K7" s="35">
        <f>'Modèle de base (CM 2003)'!K7</f>
        <v>136799</v>
      </c>
      <c r="L7" s="35">
        <f>'Modèle de base (CM 2003)'!L7</f>
        <v>152798</v>
      </c>
      <c r="M7" s="35">
        <f>'Modèle de base (CM 2003)'!M7</f>
        <v>119370</v>
      </c>
    </row>
    <row r="8" spans="1:22" ht="18" x14ac:dyDescent="0.35">
      <c r="A8" s="77" t="s">
        <v>8</v>
      </c>
      <c r="B8">
        <f>Q10</f>
        <v>1300</v>
      </c>
      <c r="C8" s="35">
        <f>'Modèle de base (CM 2003)'!C8</f>
        <v>0</v>
      </c>
      <c r="D8" s="35">
        <f>'Modèle de base (CM 2003)'!D8</f>
        <v>0</v>
      </c>
      <c r="E8" s="35">
        <f>'Modèle de base (CM 2003)'!E8</f>
        <v>1300</v>
      </c>
      <c r="F8" s="35">
        <f>'Modèle de base (CM 2003)'!F8</f>
        <v>1300</v>
      </c>
      <c r="G8" s="35">
        <f>'Modèle de base (CM 2003)'!G8</f>
        <v>1300</v>
      </c>
      <c r="H8" s="35">
        <f>'Modèle de base (CM 2003)'!H8</f>
        <v>1300</v>
      </c>
      <c r="I8" s="35">
        <f>'Modèle de base (CM 2003)'!I8</f>
        <v>1300</v>
      </c>
      <c r="J8" s="35">
        <f>'Modèle de base (CM 2003)'!J8</f>
        <v>1300</v>
      </c>
      <c r="K8" s="35">
        <f>'Modèle de base (CM 2003)'!K8</f>
        <v>1300</v>
      </c>
      <c r="L8" s="35">
        <f>'Modèle de base (CM 2003)'!L8</f>
        <v>1300</v>
      </c>
      <c r="M8" s="35">
        <f>'Modèle de base (CM 2003)'!M8</f>
        <v>1300</v>
      </c>
    </row>
    <row r="9" spans="1:22" x14ac:dyDescent="0.3">
      <c r="A9" s="78" t="s">
        <v>10</v>
      </c>
      <c r="B9" t="s">
        <v>11</v>
      </c>
      <c r="C9" s="35">
        <f>$B$8*C7</f>
        <v>0</v>
      </c>
      <c r="D9" s="35">
        <f t="shared" ref="D9:M9" si="0">$B$8*D7</f>
        <v>0</v>
      </c>
      <c r="E9" s="35">
        <f t="shared" si="0"/>
        <v>248528800</v>
      </c>
      <c r="F9" s="35">
        <f t="shared" si="0"/>
        <v>279809400</v>
      </c>
      <c r="G9" s="35">
        <f t="shared" si="0"/>
        <v>246749100</v>
      </c>
      <c r="H9" s="35">
        <f t="shared" si="0"/>
        <v>218822500</v>
      </c>
      <c r="I9" s="35">
        <f t="shared" si="0"/>
        <v>274262300</v>
      </c>
      <c r="J9" s="35">
        <f t="shared" si="0"/>
        <v>218010000</v>
      </c>
      <c r="K9" s="35">
        <f t="shared" si="0"/>
        <v>177838700</v>
      </c>
      <c r="L9" s="35">
        <f t="shared" si="0"/>
        <v>198637400</v>
      </c>
      <c r="M9" s="35">
        <f t="shared" si="0"/>
        <v>155181000</v>
      </c>
      <c r="P9" s="87"/>
      <c r="Q9" s="87" t="s">
        <v>125</v>
      </c>
      <c r="R9" s="87" t="s">
        <v>121</v>
      </c>
      <c r="S9" s="87" t="s">
        <v>122</v>
      </c>
      <c r="T9" s="87" t="s">
        <v>27</v>
      </c>
      <c r="U9" s="87" t="s">
        <v>123</v>
      </c>
      <c r="V9" s="87" t="s">
        <v>124</v>
      </c>
    </row>
    <row r="10" spans="1:22" x14ac:dyDescent="0.3">
      <c r="A10" s="78" t="s">
        <v>35</v>
      </c>
      <c r="B10">
        <v>602.60041999999999</v>
      </c>
      <c r="C10" s="35">
        <f>'Modèle de base (CM 2003)'!C10</f>
        <v>0</v>
      </c>
      <c r="D10" s="35">
        <f>'Modèle de base (CM 2003)'!D10</f>
        <v>0</v>
      </c>
      <c r="E10" s="35">
        <f>'Modèle de base (CM 2003)'!E10</f>
        <v>0</v>
      </c>
      <c r="F10" s="35">
        <f>'Modèle de base (CM 2003)'!F10</f>
        <v>0</v>
      </c>
      <c r="G10" s="35">
        <f>'Modèle de base (CM 2003)'!G10</f>
        <v>0</v>
      </c>
      <c r="H10" s="35">
        <f>'Modèle de base (CM 2003)'!H10</f>
        <v>0</v>
      </c>
      <c r="I10" s="35">
        <f>'Modèle de base (CM 2003)'!I10</f>
        <v>0</v>
      </c>
      <c r="J10" s="35">
        <f>'Modèle de base (CM 2003)'!J10</f>
        <v>0</v>
      </c>
      <c r="K10" s="35">
        <f>'Modèle de base (CM 2003)'!K10</f>
        <v>0</v>
      </c>
      <c r="L10" s="35">
        <f>'Modèle de base (CM 2003)'!L10</f>
        <v>0</v>
      </c>
      <c r="M10" s="35">
        <f>'Modèle de base (CM 2003)'!M10</f>
        <v>0</v>
      </c>
      <c r="P10" s="87" t="s">
        <v>8</v>
      </c>
      <c r="Q10" s="83">
        <v>1300</v>
      </c>
      <c r="R10" s="84">
        <f>C26</f>
        <v>358175360.12388295</v>
      </c>
      <c r="S10" s="84">
        <f>C56</f>
        <v>140525293.95441994</v>
      </c>
      <c r="T10" s="85">
        <f>C57</f>
        <v>0.60766342524003847</v>
      </c>
      <c r="U10" s="86">
        <f>C27</f>
        <v>0.27738178816017744</v>
      </c>
      <c r="V10" s="86">
        <f>C58</f>
        <v>0.15060914785503532</v>
      </c>
    </row>
    <row r="11" spans="1:22" x14ac:dyDescent="0.3">
      <c r="A11" s="78" t="s">
        <v>36</v>
      </c>
      <c r="B11" s="19">
        <f>Q11</f>
        <v>0.05</v>
      </c>
      <c r="C11" s="35">
        <f>'Modèle de base (CM 2003)'!C11</f>
        <v>0</v>
      </c>
      <c r="D11" s="35">
        <f>'Modèle de base (CM 2003)'!D11</f>
        <v>0</v>
      </c>
      <c r="E11" s="35">
        <f>'Modèle de base (CM 2003)'!E11</f>
        <v>0</v>
      </c>
      <c r="F11" s="35">
        <f>'Modèle de base (CM 2003)'!F11</f>
        <v>0</v>
      </c>
      <c r="G11" s="35">
        <f>'Modèle de base (CM 2003)'!G11</f>
        <v>0</v>
      </c>
      <c r="H11" s="35">
        <f>'Modèle de base (CM 2003)'!H11</f>
        <v>0</v>
      </c>
      <c r="I11" s="35">
        <f>'Modèle de base (CM 2003)'!I11</f>
        <v>0</v>
      </c>
      <c r="J11" s="35">
        <f>'Modèle de base (CM 2003)'!J11</f>
        <v>0</v>
      </c>
      <c r="K11" s="35">
        <f>'Modèle de base (CM 2003)'!K11</f>
        <v>0</v>
      </c>
      <c r="L11" s="35">
        <f>'Modèle de base (CM 2003)'!L11</f>
        <v>0</v>
      </c>
      <c r="M11" s="35">
        <f>'Modèle de base (CM 2003)'!M11</f>
        <v>0</v>
      </c>
      <c r="P11" s="87" t="s">
        <v>36</v>
      </c>
      <c r="Q11" s="86">
        <v>0.05</v>
      </c>
      <c r="R11" s="83"/>
      <c r="S11" s="83"/>
      <c r="T11" s="83"/>
      <c r="U11" s="83"/>
      <c r="V11" s="83"/>
    </row>
    <row r="12" spans="1:22" x14ac:dyDescent="0.3">
      <c r="A12" s="78"/>
      <c r="C12" s="35">
        <f>'Modèle de base (CM 2003)'!C12</f>
        <v>0</v>
      </c>
      <c r="D12" s="35">
        <f>'Modèle de base (CM 2003)'!D12</f>
        <v>0</v>
      </c>
      <c r="E12" s="35">
        <f>'Modèle de base (CM 2003)'!E12</f>
        <v>0</v>
      </c>
      <c r="F12" s="35">
        <f>'Modèle de base (CM 2003)'!F12</f>
        <v>0</v>
      </c>
      <c r="G12" s="35">
        <f>'Modèle de base (CM 2003)'!G12</f>
        <v>0</v>
      </c>
      <c r="H12" s="35">
        <f>'Modèle de base (CM 2003)'!H12</f>
        <v>0</v>
      </c>
      <c r="I12" s="35">
        <f>'Modèle de base (CM 2003)'!I12</f>
        <v>0</v>
      </c>
      <c r="J12" s="35">
        <f>'Modèle de base (CM 2003)'!J12</f>
        <v>0</v>
      </c>
      <c r="K12" s="35">
        <f>'Modèle de base (CM 2003)'!K12</f>
        <v>0</v>
      </c>
      <c r="L12" s="35">
        <f>'Modèle de base (CM 2003)'!L12</f>
        <v>0</v>
      </c>
      <c r="M12" s="35">
        <f>'Modèle de base (CM 2003)'!M12</f>
        <v>0</v>
      </c>
      <c r="P12" s="87" t="s">
        <v>119</v>
      </c>
      <c r="Q12" s="85">
        <v>0.27500000000000002</v>
      </c>
      <c r="R12" s="83"/>
      <c r="S12" s="83"/>
      <c r="T12" s="83"/>
      <c r="U12" s="83"/>
      <c r="V12" s="83"/>
    </row>
    <row r="13" spans="1:22" ht="18" x14ac:dyDescent="0.35">
      <c r="A13" s="77" t="s">
        <v>12</v>
      </c>
      <c r="C13" s="35">
        <f>'Modèle de base (CM 2003)'!C13</f>
        <v>0</v>
      </c>
      <c r="D13" s="35">
        <f>'Modèle de base (CM 2003)'!D13</f>
        <v>0</v>
      </c>
      <c r="E13" s="35">
        <f>'Modèle de base (CM 2003)'!E13</f>
        <v>0</v>
      </c>
      <c r="F13" s="35">
        <f>'Modèle de base (CM 2003)'!F13</f>
        <v>0</v>
      </c>
      <c r="G13" s="35">
        <f>'Modèle de base (CM 2003)'!G13</f>
        <v>0</v>
      </c>
      <c r="H13" s="35">
        <f>'Modèle de base (CM 2003)'!H13</f>
        <v>0</v>
      </c>
      <c r="I13" s="35">
        <f>'Modèle de base (CM 2003)'!I13</f>
        <v>0</v>
      </c>
      <c r="J13" s="35">
        <f>'Modèle de base (CM 2003)'!J13</f>
        <v>0</v>
      </c>
      <c r="K13" s="35">
        <f>'Modèle de base (CM 2003)'!K13</f>
        <v>0</v>
      </c>
      <c r="L13" s="35">
        <f>'Modèle de base (CM 2003)'!L13</f>
        <v>0</v>
      </c>
      <c r="M13" s="35">
        <f>'Modèle de base (CM 2003)'!M13</f>
        <v>0</v>
      </c>
      <c r="P13" s="88" t="s">
        <v>120</v>
      </c>
      <c r="Q13" s="86">
        <v>0.04</v>
      </c>
      <c r="R13" s="83"/>
      <c r="S13" s="83"/>
      <c r="T13" s="83"/>
      <c r="U13" s="83"/>
      <c r="V13" s="83"/>
    </row>
    <row r="14" spans="1:22" x14ac:dyDescent="0.3">
      <c r="A14" s="79" t="s">
        <v>110</v>
      </c>
      <c r="B14" t="s">
        <v>11</v>
      </c>
      <c r="C14" s="35">
        <f>'Modèle de base (CM 2003)'!C14</f>
        <v>49760265</v>
      </c>
      <c r="D14" s="35">
        <f>'Modèle de base (CM 2003)'!D14</f>
        <v>116107284</v>
      </c>
      <c r="E14" s="35">
        <f>'Modèle de base (CM 2003)'!E14</f>
        <v>0</v>
      </c>
      <c r="F14" s="35">
        <f>'Modèle de base (CM 2003)'!F14</f>
        <v>0</v>
      </c>
      <c r="G14" s="35">
        <f>'Modèle de base (CM 2003)'!G14</f>
        <v>0</v>
      </c>
      <c r="H14" s="35">
        <f>'Modèle de base (CM 2003)'!H14</f>
        <v>0</v>
      </c>
      <c r="I14" s="35">
        <f>'Modèle de base (CM 2003)'!I14</f>
        <v>0</v>
      </c>
      <c r="J14" s="35">
        <f>'Modèle de base (CM 2003)'!J14</f>
        <v>0</v>
      </c>
      <c r="K14" s="35">
        <f>'Modèle de base (CM 2003)'!K14</f>
        <v>0</v>
      </c>
      <c r="L14" s="35">
        <f>'Modèle de base (CM 2003)'!L14</f>
        <v>0</v>
      </c>
      <c r="M14" s="35">
        <f>'Modèle de base (CM 2003)'!M14</f>
        <v>0</v>
      </c>
    </row>
    <row r="15" spans="1:22" x14ac:dyDescent="0.3">
      <c r="A15" s="79" t="s">
        <v>111</v>
      </c>
      <c r="C15" s="35">
        <f>'Modèle de base (CM 2003)'!C15</f>
        <v>23685527</v>
      </c>
      <c r="D15" s="35">
        <f>'Modèle de base (CM 2003)'!D15</f>
        <v>125300533</v>
      </c>
      <c r="E15" s="35">
        <f>'Modèle de base (CM 2003)'!E15</f>
        <v>11632917</v>
      </c>
      <c r="F15" s="35">
        <f>'Modèle de base (CM 2003)'!F15</f>
        <v>3722927</v>
      </c>
      <c r="G15" s="35">
        <f>'Modèle de base (CM 2003)'!G15</f>
        <v>18272647</v>
      </c>
      <c r="H15" s="35">
        <f>'Modèle de base (CM 2003)'!H15</f>
        <v>4482500</v>
      </c>
      <c r="I15" s="35">
        <f>'Modèle de base (CM 2003)'!I15</f>
        <v>2137128</v>
      </c>
      <c r="J15" s="35">
        <f>'Modèle de base (CM 2003)'!J15</f>
        <v>1103055</v>
      </c>
      <c r="K15" s="35">
        <f>'Modèle de base (CM 2003)'!K15</f>
        <v>4934651</v>
      </c>
      <c r="L15" s="35">
        <f>'Modèle de base (CM 2003)'!L15</f>
        <v>2727670</v>
      </c>
      <c r="M15" s="35">
        <f>'Modèle de base (CM 2003)'!M15</f>
        <v>542926</v>
      </c>
    </row>
    <row r="16" spans="1:22" x14ac:dyDescent="0.3">
      <c r="A16" s="78" t="s">
        <v>113</v>
      </c>
      <c r="B16" t="s">
        <v>11</v>
      </c>
      <c r="C16" s="35">
        <f>'Modèle de base (CM 2003)'!C16</f>
        <v>0</v>
      </c>
      <c r="D16" s="35">
        <f>'Modèle de base (CM 2003)'!D16</f>
        <v>0</v>
      </c>
      <c r="E16" s="35">
        <f>'Modèle de base (CM 2003)'!E16</f>
        <v>1595000</v>
      </c>
      <c r="F16" s="35">
        <f>'Modèle de base (CM 2003)'!F16</f>
        <v>2708200</v>
      </c>
      <c r="G16" s="35">
        <f>'Modèle de base (CM 2003)'!G16</f>
        <v>249700</v>
      </c>
      <c r="H16" s="35">
        <f>'Modèle de base (CM 2003)'!H16</f>
        <v>2581553</v>
      </c>
      <c r="I16" s="35">
        <f>'Modèle de base (CM 2003)'!I16</f>
        <v>469553</v>
      </c>
      <c r="J16" s="35">
        <f>'Modèle de base (CM 2003)'!J16</f>
        <v>3654542</v>
      </c>
      <c r="K16" s="35">
        <f>'Modèle de base (CM 2003)'!K16</f>
        <v>249700</v>
      </c>
      <c r="L16" s="35">
        <f>'Modèle de base (CM 2003)'!L16</f>
        <v>106700</v>
      </c>
      <c r="M16" s="35">
        <f>'Modèle de base (CM 2003)'!M16</f>
        <v>0</v>
      </c>
    </row>
    <row r="17" spans="1:13" x14ac:dyDescent="0.3">
      <c r="A17" s="79" t="s">
        <v>112</v>
      </c>
      <c r="B17" t="s">
        <v>11</v>
      </c>
      <c r="C17" s="35">
        <f>'Modèle de base (CM 2003)'!C17</f>
        <v>0</v>
      </c>
      <c r="D17" s="35">
        <f>'Modèle de base (CM 2003)'!D17</f>
        <v>0</v>
      </c>
      <c r="E17" s="35">
        <f>'Modèle de base (CM 2003)'!E17</f>
        <v>2830244</v>
      </c>
      <c r="F17" s="35">
        <f>'Modèle de base (CM 2003)'!F17</f>
        <v>3314368</v>
      </c>
      <c r="G17" s="35">
        <f>'Modèle de base (CM 2003)'!G17</f>
        <v>3215137</v>
      </c>
      <c r="H17" s="35">
        <f>'Modèle de base (CM 2003)'!H17</f>
        <v>3842412</v>
      </c>
      <c r="I17" s="35">
        <f>'Modèle de base (CM 2003)'!I17</f>
        <v>4018506</v>
      </c>
      <c r="J17" s="35">
        <f>'Modèle de base (CM 2003)'!J17</f>
        <v>2935298</v>
      </c>
      <c r="K17" s="35">
        <f>'Modèle de base (CM 2003)'!K17</f>
        <v>1813443</v>
      </c>
      <c r="L17" s="35">
        <f>'Modèle de base (CM 2003)'!L17</f>
        <v>1249254</v>
      </c>
      <c r="M17" s="35">
        <f>'Modèle de base (CM 2003)'!M17</f>
        <v>3165512</v>
      </c>
    </row>
    <row r="18" spans="1:13" x14ac:dyDescent="0.3">
      <c r="A18" s="78" t="s">
        <v>13</v>
      </c>
      <c r="B18" t="s">
        <v>11</v>
      </c>
      <c r="C18" s="35">
        <f>SUM(C14:C17)</f>
        <v>73445792</v>
      </c>
      <c r="D18" s="35">
        <f t="shared" ref="D18:M18" si="1">SUM(D14:D17)</f>
        <v>241407817</v>
      </c>
      <c r="E18" s="35">
        <f t="shared" si="1"/>
        <v>16058161</v>
      </c>
      <c r="F18" s="35">
        <f t="shared" si="1"/>
        <v>9745495</v>
      </c>
      <c r="G18" s="35">
        <f t="shared" si="1"/>
        <v>21737484</v>
      </c>
      <c r="H18" s="35">
        <f t="shared" si="1"/>
        <v>10906465</v>
      </c>
      <c r="I18" s="35">
        <f t="shared" si="1"/>
        <v>6625187</v>
      </c>
      <c r="J18" s="35">
        <f t="shared" si="1"/>
        <v>7692895</v>
      </c>
      <c r="K18" s="35">
        <f t="shared" si="1"/>
        <v>6997794</v>
      </c>
      <c r="L18" s="35">
        <f t="shared" si="1"/>
        <v>4083624</v>
      </c>
      <c r="M18" s="35">
        <f t="shared" si="1"/>
        <v>3708438</v>
      </c>
    </row>
    <row r="19" spans="1:13" x14ac:dyDescent="0.3">
      <c r="A19" s="78"/>
      <c r="C19" s="35">
        <f>'Modèle de base (CM 2003)'!C19</f>
        <v>0</v>
      </c>
      <c r="D19" s="35">
        <f>'Modèle de base (CM 2003)'!D19</f>
        <v>0</v>
      </c>
      <c r="E19" s="35">
        <f>'Modèle de base (CM 2003)'!E19</f>
        <v>0</v>
      </c>
      <c r="F19" s="35">
        <f>'Modèle de base (CM 2003)'!F19</f>
        <v>0</v>
      </c>
      <c r="G19" s="35">
        <f>'Modèle de base (CM 2003)'!G19</f>
        <v>0</v>
      </c>
      <c r="H19" s="35">
        <f>'Modèle de base (CM 2003)'!H19</f>
        <v>0</v>
      </c>
      <c r="I19" s="35">
        <f>'Modèle de base (CM 2003)'!I19</f>
        <v>0</v>
      </c>
      <c r="J19" s="35">
        <f>'Modèle de base (CM 2003)'!J19</f>
        <v>0</v>
      </c>
      <c r="K19" s="35">
        <f>'Modèle de base (CM 2003)'!K19</f>
        <v>0</v>
      </c>
      <c r="L19" s="35">
        <f>'Modèle de base (CM 2003)'!L19</f>
        <v>0</v>
      </c>
      <c r="M19" s="35">
        <f>'Modèle de base (CM 2003)'!M19</f>
        <v>0</v>
      </c>
    </row>
    <row r="20" spans="1:13" ht="18" x14ac:dyDescent="0.35">
      <c r="A20" s="77" t="s">
        <v>14</v>
      </c>
      <c r="B20" t="s">
        <v>11</v>
      </c>
      <c r="C20" s="35">
        <f>'Modèle de base (CM 2003)'!C20</f>
        <v>0</v>
      </c>
      <c r="D20" s="35">
        <f>'Modèle de base (CM 2003)'!D20</f>
        <v>0</v>
      </c>
      <c r="E20" s="35">
        <f>'Modèle de base (CM 2003)'!E20</f>
        <v>115668594</v>
      </c>
      <c r="F20" s="35">
        <f>'Modèle de base (CM 2003)'!F20</f>
        <v>128519703</v>
      </c>
      <c r="G20" s="35">
        <f>'Modèle de base (CM 2003)'!G20</f>
        <v>131246978</v>
      </c>
      <c r="H20" s="35">
        <f>'Modèle de base (CM 2003)'!H20</f>
        <v>152348402</v>
      </c>
      <c r="I20" s="35">
        <f>'Modèle de base (CM 2003)'!I20</f>
        <v>157632470</v>
      </c>
      <c r="J20" s="35">
        <f>'Modèle de base (CM 2003)'!J20</f>
        <v>132358509</v>
      </c>
      <c r="K20" s="35">
        <f>'Modèle de base (CM 2003)'!K20</f>
        <v>107272479</v>
      </c>
      <c r="L20" s="35">
        <f>'Modèle de base (CM 2003)'!L20</f>
        <v>96975692</v>
      </c>
      <c r="M20" s="35">
        <f>'Modèle de base (CM 2003)'!M20</f>
        <v>9542514</v>
      </c>
    </row>
    <row r="21" spans="1:13" ht="18" x14ac:dyDescent="0.35">
      <c r="A21" s="77" t="s">
        <v>15</v>
      </c>
      <c r="B21" t="s">
        <v>9</v>
      </c>
      <c r="C21" s="35">
        <f>'Modèle de base (CM 2003)'!C21</f>
        <v>0</v>
      </c>
      <c r="D21" s="35">
        <f>'Modèle de base (CM 2003)'!D21</f>
        <v>0</v>
      </c>
      <c r="E21" s="35">
        <f>'Modèle de base (CM 2003)'!E21</f>
        <v>605.03721178390595</v>
      </c>
      <c r="F21" s="35">
        <f>'Modèle de base (CM 2003)'!F21</f>
        <v>597.10507902879601</v>
      </c>
      <c r="G21" s="35">
        <f>'Modèle de base (CM 2003)'!G21</f>
        <v>691.47596242498958</v>
      </c>
      <c r="H21" s="35">
        <f>'Modèle de base (CM 2003)'!H21</f>
        <v>905.08481806029999</v>
      </c>
      <c r="I21" s="35">
        <f>'Modèle de base (CM 2003)'!I21</f>
        <v>747.17600997293471</v>
      </c>
      <c r="J21" s="35">
        <f>'Modèle de base (CM 2003)'!J21</f>
        <v>789.25765652951702</v>
      </c>
      <c r="K21" s="35">
        <f>'Modèle de base (CM 2003)'!K21</f>
        <v>784.1612804187165</v>
      </c>
      <c r="L21" s="35">
        <f>'Modèle de base (CM 2003)'!L21</f>
        <v>634.66597730336787</v>
      </c>
      <c r="M21" s="35">
        <f>'Modèle de base (CM 2003)'!M21</f>
        <v>79.94063835134456</v>
      </c>
    </row>
    <row r="22" spans="1:13" x14ac:dyDescent="0.3">
      <c r="A22" s="78"/>
      <c r="C22" s="35">
        <f>'Modèle de base (CM 2003)'!C22</f>
        <v>0</v>
      </c>
      <c r="D22" s="35">
        <f>'Modèle de base (CM 2003)'!D22</f>
        <v>0</v>
      </c>
      <c r="E22" s="35">
        <f>'Modèle de base (CM 2003)'!E22</f>
        <v>0</v>
      </c>
      <c r="F22" s="35">
        <f>'Modèle de base (CM 2003)'!F22</f>
        <v>0</v>
      </c>
      <c r="G22" s="35">
        <f>'Modèle de base (CM 2003)'!G22</f>
        <v>0</v>
      </c>
      <c r="H22" s="35">
        <f>'Modèle de base (CM 2003)'!H22</f>
        <v>0</v>
      </c>
      <c r="I22" s="35">
        <f>'Modèle de base (CM 2003)'!I22</f>
        <v>0</v>
      </c>
      <c r="J22" s="35">
        <f>'Modèle de base (CM 2003)'!J22</f>
        <v>0</v>
      </c>
      <c r="K22" s="35">
        <f>'Modèle de base (CM 2003)'!K22</f>
        <v>0</v>
      </c>
      <c r="L22" s="35">
        <f>'Modèle de base (CM 2003)'!L22</f>
        <v>0</v>
      </c>
      <c r="M22" s="35">
        <f>'Modèle de base (CM 2003)'!M22</f>
        <v>0</v>
      </c>
    </row>
    <row r="23" spans="1:13" x14ac:dyDescent="0.3">
      <c r="A23" s="78" t="s">
        <v>16</v>
      </c>
      <c r="C23" s="35">
        <f>C18+C20</f>
        <v>73445792</v>
      </c>
      <c r="D23" s="35">
        <f t="shared" ref="D23:M23" si="2">D18+D20</f>
        <v>241407817</v>
      </c>
      <c r="E23" s="35">
        <f t="shared" si="2"/>
        <v>131726755</v>
      </c>
      <c r="F23" s="35">
        <f t="shared" si="2"/>
        <v>138265198</v>
      </c>
      <c r="G23" s="35">
        <f t="shared" si="2"/>
        <v>152984462</v>
      </c>
      <c r="H23" s="35">
        <f t="shared" si="2"/>
        <v>163254867</v>
      </c>
      <c r="I23" s="35">
        <f t="shared" si="2"/>
        <v>164257657</v>
      </c>
      <c r="J23" s="35">
        <f t="shared" si="2"/>
        <v>140051404</v>
      </c>
      <c r="K23" s="35">
        <f t="shared" si="2"/>
        <v>114270273</v>
      </c>
      <c r="L23" s="35">
        <f t="shared" si="2"/>
        <v>101059316</v>
      </c>
      <c r="M23" s="35">
        <f t="shared" si="2"/>
        <v>13250952</v>
      </c>
    </row>
    <row r="24" spans="1:13" x14ac:dyDescent="0.3">
      <c r="A24" s="78"/>
      <c r="C24" s="35">
        <f>'Modèle de base (CM 2003)'!C24</f>
        <v>0</v>
      </c>
      <c r="D24" s="35">
        <f>'Modèle de base (CM 2003)'!D24</f>
        <v>0</v>
      </c>
      <c r="E24" s="35">
        <f>'Modèle de base (CM 2003)'!E24</f>
        <v>0</v>
      </c>
      <c r="F24" s="35">
        <f>'Modèle de base (CM 2003)'!F24</f>
        <v>0</v>
      </c>
      <c r="G24" s="35">
        <f>'Modèle de base (CM 2003)'!G24</f>
        <v>0</v>
      </c>
      <c r="H24" s="35">
        <f>'Modèle de base (CM 2003)'!H24</f>
        <v>0</v>
      </c>
      <c r="I24" s="35">
        <f>'Modèle de base (CM 2003)'!I24</f>
        <v>0</v>
      </c>
      <c r="J24" s="35">
        <f>'Modèle de base (CM 2003)'!J24</f>
        <v>0</v>
      </c>
      <c r="K24" s="35">
        <f>'Modèle de base (CM 2003)'!K24</f>
        <v>0</v>
      </c>
      <c r="L24" s="35">
        <f>'Modèle de base (CM 2003)'!L24</f>
        <v>0</v>
      </c>
      <c r="M24" s="35">
        <f>'Modèle de base (CM 2003)'!M24</f>
        <v>0</v>
      </c>
    </row>
    <row r="25" spans="1:13" x14ac:dyDescent="0.3">
      <c r="A25" s="78" t="s">
        <v>17</v>
      </c>
      <c r="C25" s="35">
        <f>C$9-C$23</f>
        <v>-73445792</v>
      </c>
      <c r="D25" s="35">
        <f t="shared" ref="D25:L25" si="3">D$9-D$23</f>
        <v>-241407817</v>
      </c>
      <c r="E25" s="35">
        <f t="shared" si="3"/>
        <v>116802045</v>
      </c>
      <c r="F25" s="35">
        <f t="shared" si="3"/>
        <v>141544202</v>
      </c>
      <c r="G25" s="35">
        <f t="shared" si="3"/>
        <v>93764638</v>
      </c>
      <c r="H25" s="35">
        <f t="shared" si="3"/>
        <v>55567633</v>
      </c>
      <c r="I25" s="35">
        <f t="shared" si="3"/>
        <v>110004643</v>
      </c>
      <c r="J25" s="35">
        <f t="shared" si="3"/>
        <v>77958596</v>
      </c>
      <c r="K25" s="35">
        <f t="shared" si="3"/>
        <v>63568427</v>
      </c>
      <c r="L25" s="35">
        <f t="shared" si="3"/>
        <v>97578084</v>
      </c>
      <c r="M25" s="35">
        <f>M$9-M$23</f>
        <v>141930048</v>
      </c>
    </row>
    <row r="26" spans="1:13" x14ac:dyDescent="0.3">
      <c r="A26" s="78" t="s">
        <v>18</v>
      </c>
      <c r="C26" s="35">
        <f>NPV(B11,C25:M25)</f>
        <v>358175360.12388295</v>
      </c>
      <c r="D26" s="35">
        <f>'Modèle de base (CM 2003)'!D26</f>
        <v>0</v>
      </c>
      <c r="E26" s="35">
        <f>'Modèle de base (CM 2003)'!E26</f>
        <v>0</v>
      </c>
      <c r="F26" s="35">
        <f>'Modèle de base (CM 2003)'!F26</f>
        <v>0</v>
      </c>
      <c r="G26" s="35">
        <f>'Modèle de base (CM 2003)'!G26</f>
        <v>0</v>
      </c>
      <c r="H26" s="35">
        <f>'Modèle de base (CM 2003)'!H26</f>
        <v>0</v>
      </c>
      <c r="I26" s="35">
        <f>'Modèle de base (CM 2003)'!I26</f>
        <v>0</v>
      </c>
      <c r="J26" s="35">
        <f>'Modèle de base (CM 2003)'!J26</f>
        <v>0</v>
      </c>
      <c r="K26" s="35">
        <f>'Modèle de base (CM 2003)'!K26</f>
        <v>0</v>
      </c>
      <c r="L26" s="35">
        <f>'Modèle de base (CM 2003)'!L26</f>
        <v>0</v>
      </c>
      <c r="M26" s="35">
        <f>'Modèle de base (CM 2003)'!M26</f>
        <v>0</v>
      </c>
    </row>
    <row r="27" spans="1:13" x14ac:dyDescent="0.3">
      <c r="A27" s="78" t="s">
        <v>19</v>
      </c>
      <c r="C27" s="46">
        <f>IRR(C25:M25)</f>
        <v>0.27738178816017744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1:13" x14ac:dyDescent="0.3">
      <c r="A28" s="78"/>
      <c r="C28" s="35">
        <f>'Modèle de base (CM 2003)'!C28</f>
        <v>0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3" x14ac:dyDescent="0.3">
      <c r="A29" s="78" t="s">
        <v>29</v>
      </c>
      <c r="B29">
        <v>10000000</v>
      </c>
      <c r="C29" s="35">
        <f>'Données fiscales'!C89/'Code Minier 2015'!B10</f>
        <v>16594.744490885023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3" x14ac:dyDescent="0.3">
      <c r="A30" s="78"/>
      <c r="C30" s="35">
        <f>'Modèle de base (CM 2003)'!C30</f>
        <v>0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3" x14ac:dyDescent="0.3">
      <c r="A31" s="78"/>
      <c r="C31" s="35">
        <f>'Modèle de base (CM 2003)'!C31</f>
        <v>0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3" x14ac:dyDescent="0.3">
      <c r="A32" s="78" t="s">
        <v>30</v>
      </c>
      <c r="C32" s="35">
        <f>'Modèle de base (CM 2003)'!C32</f>
        <v>23.2</v>
      </c>
      <c r="D32" s="35">
        <f>'Modèle de base (CM 2003)'!D32</f>
        <v>23.2</v>
      </c>
      <c r="E32" s="35">
        <f>'Modèle de base (CM 2003)'!E32</f>
        <v>23.2</v>
      </c>
      <c r="F32" s="35">
        <f>'Modèle de base (CM 2003)'!F32</f>
        <v>23.2</v>
      </c>
      <c r="G32" s="35">
        <f>'Modèle de base (CM 2003)'!G32</f>
        <v>23.2</v>
      </c>
      <c r="H32" s="35">
        <f>'Modèle de base (CM 2003)'!H32</f>
        <v>23.2</v>
      </c>
      <c r="I32" s="35">
        <f>'Modèle de base (CM 2003)'!I32</f>
        <v>23.2</v>
      </c>
      <c r="J32" s="35">
        <f>'Modèle de base (CM 2003)'!J32</f>
        <v>23.2</v>
      </c>
      <c r="K32" s="35">
        <f>'Modèle de base (CM 2003)'!K32</f>
        <v>23.2</v>
      </c>
      <c r="L32" s="35">
        <f>'Modèle de base (CM 2003)'!L32</f>
        <v>23.2</v>
      </c>
      <c r="M32" s="35">
        <f>'Modèle de base (CM 2003)'!M32</f>
        <v>23.2</v>
      </c>
    </row>
    <row r="33" spans="1:13" x14ac:dyDescent="0.3">
      <c r="A33" s="78" t="s">
        <v>20</v>
      </c>
      <c r="C33" s="35">
        <f>'Modèle de base (CM 2003)'!C33</f>
        <v>352936.77370961802</v>
      </c>
      <c r="D33" s="35">
        <f>'Modèle de base (CM 2003)'!D33</f>
        <v>352936.77370961802</v>
      </c>
      <c r="E33" s="35">
        <f>'Modèle de base (CM 2003)'!E33</f>
        <v>352936.77370961802</v>
      </c>
      <c r="F33" s="35">
        <f>'Modèle de base (CM 2003)'!F33</f>
        <v>352936.77370961802</v>
      </c>
      <c r="G33" s="35">
        <f>'Modèle de base (CM 2003)'!G33</f>
        <v>352936.77370961802</v>
      </c>
      <c r="H33" s="35">
        <f>'Modèle de base (CM 2003)'!H33</f>
        <v>470582.36494615738</v>
      </c>
      <c r="I33" s="35">
        <f>'Modèle de base (CM 2003)'!I33</f>
        <v>470582.36494615738</v>
      </c>
      <c r="J33" s="35">
        <f>'Modèle de base (CM 2003)'!J33</f>
        <v>470582.36494615738</v>
      </c>
      <c r="K33" s="35">
        <f>'Modèle de base (CM 2003)'!K33</f>
        <v>470582.36494615738</v>
      </c>
      <c r="L33" s="35">
        <f>'Modèle de base (CM 2003)'!L33</f>
        <v>470582.36494615738</v>
      </c>
      <c r="M33" s="35">
        <f>'Modèle de base (CM 2003)'!M33</f>
        <v>705873.54741923604</v>
      </c>
    </row>
    <row r="34" spans="1:13" x14ac:dyDescent="0.3">
      <c r="A34" s="78"/>
      <c r="C34" s="35">
        <f>'Modèle de base (CM 2003)'!C34</f>
        <v>0</v>
      </c>
      <c r="D34" s="35">
        <f>'Modèle de base (CM 2003)'!D34</f>
        <v>0</v>
      </c>
      <c r="E34" s="35">
        <f>'Modèle de base (CM 2003)'!E34</f>
        <v>0</v>
      </c>
      <c r="F34" s="35">
        <f>'Modèle de base (CM 2003)'!F34</f>
        <v>0</v>
      </c>
      <c r="G34" s="35">
        <f>'Modèle de base (CM 2003)'!G34</f>
        <v>0</v>
      </c>
      <c r="H34" s="35">
        <f>'Modèle de base (CM 2003)'!H34</f>
        <v>0</v>
      </c>
      <c r="I34" s="35">
        <f>'Modèle de base (CM 2003)'!I34</f>
        <v>0</v>
      </c>
      <c r="J34" s="35">
        <f>'Modèle de base (CM 2003)'!J34</f>
        <v>0</v>
      </c>
      <c r="K34" s="35">
        <f>'Modèle de base (CM 2003)'!K34</f>
        <v>0</v>
      </c>
      <c r="L34" s="35">
        <f>'Modèle de base (CM 2003)'!L34</f>
        <v>0</v>
      </c>
      <c r="M34" s="35">
        <f>'Modèle de base (CM 2003)'!M34</f>
        <v>0</v>
      </c>
    </row>
    <row r="35" spans="1:13" x14ac:dyDescent="0.3">
      <c r="A35" s="78" t="s">
        <v>32</v>
      </c>
      <c r="C35" s="35">
        <f>'Modèle de base (CM 2003)'!C35</f>
        <v>0</v>
      </c>
      <c r="D35" s="35">
        <f>'Modèle de base (CM 2003)'!D35</f>
        <v>0</v>
      </c>
      <c r="E35" s="35">
        <f>'Modèle de base (CM 2003)'!E35</f>
        <v>0</v>
      </c>
      <c r="F35" s="35">
        <f>'Modèle de base (CM 2003)'!F35</f>
        <v>0</v>
      </c>
      <c r="G35" s="35">
        <f>'Modèle de base (CM 2003)'!G35</f>
        <v>0</v>
      </c>
      <c r="H35" s="35">
        <f>'Modèle de base (CM 2003)'!H35</f>
        <v>0</v>
      </c>
      <c r="I35" s="35">
        <f>'Modèle de base (CM 2003)'!I35</f>
        <v>0</v>
      </c>
      <c r="J35" s="35">
        <f>'Modèle de base (CM 2003)'!J35</f>
        <v>0</v>
      </c>
      <c r="K35" s="35">
        <f>'Modèle de base (CM 2003)'!K35</f>
        <v>0</v>
      </c>
      <c r="L35" s="35">
        <f>'Modèle de base (CM 2003)'!L35</f>
        <v>0</v>
      </c>
      <c r="M35" s="35">
        <f>'Modèle de base (CM 2003)'!M35</f>
        <v>0</v>
      </c>
    </row>
    <row r="36" spans="1:13" x14ac:dyDescent="0.3">
      <c r="A36" s="78" t="s">
        <v>33</v>
      </c>
      <c r="B36" s="19">
        <f>Q13</f>
        <v>0.04</v>
      </c>
      <c r="C36" s="35">
        <f>'Modèle de base (CM 2003)'!C36</f>
        <v>0</v>
      </c>
      <c r="D36" s="35">
        <f>'Modèle de base (CM 2003)'!D36</f>
        <v>0</v>
      </c>
      <c r="E36" s="46">
        <f>'Modèle de base (CM 2003)'!E36</f>
        <v>0.04</v>
      </c>
      <c r="F36" s="46">
        <f>'Modèle de base (CM 2003)'!F36</f>
        <v>0.04</v>
      </c>
      <c r="G36" s="46">
        <f>'Modèle de base (CM 2003)'!G36</f>
        <v>0.04</v>
      </c>
      <c r="H36" s="46">
        <f>'Modèle de base (CM 2003)'!H36</f>
        <v>0.04</v>
      </c>
      <c r="I36" s="46">
        <f>'Modèle de base (CM 2003)'!I36</f>
        <v>0.04</v>
      </c>
      <c r="J36" s="46">
        <f>'Modèle de base (CM 2003)'!J36</f>
        <v>0.04</v>
      </c>
      <c r="K36" s="46">
        <f>'Modèle de base (CM 2003)'!K36</f>
        <v>0.04</v>
      </c>
      <c r="L36" s="46">
        <f>'Modèle de base (CM 2003)'!L36</f>
        <v>0.04</v>
      </c>
      <c r="M36" s="46">
        <f>'Modèle de base (CM 2003)'!M36</f>
        <v>0.04</v>
      </c>
    </row>
    <row r="37" spans="1:13" x14ac:dyDescent="0.3">
      <c r="A37" s="78" t="s">
        <v>31</v>
      </c>
      <c r="C37" s="35">
        <f>$B$36*C9</f>
        <v>0</v>
      </c>
      <c r="D37" s="35">
        <f t="shared" ref="D37:M37" si="4">$B$36*D9</f>
        <v>0</v>
      </c>
      <c r="E37" s="35">
        <f t="shared" si="4"/>
        <v>9941152</v>
      </c>
      <c r="F37" s="35">
        <f t="shared" si="4"/>
        <v>11192376</v>
      </c>
      <c r="G37" s="35">
        <f t="shared" si="4"/>
        <v>9869964</v>
      </c>
      <c r="H37" s="35">
        <f t="shared" si="4"/>
        <v>8752900</v>
      </c>
      <c r="I37" s="35">
        <f t="shared" si="4"/>
        <v>10970492</v>
      </c>
      <c r="J37" s="35">
        <f t="shared" si="4"/>
        <v>8720400</v>
      </c>
      <c r="K37" s="35">
        <f t="shared" si="4"/>
        <v>7113548</v>
      </c>
      <c r="L37" s="35">
        <f t="shared" si="4"/>
        <v>7945496</v>
      </c>
      <c r="M37" s="35">
        <f t="shared" si="4"/>
        <v>6207240</v>
      </c>
    </row>
    <row r="38" spans="1:13" x14ac:dyDescent="0.3">
      <c r="A38" s="78"/>
      <c r="C38" s="35">
        <f>'Modèle de base (CM 2003)'!C38</f>
        <v>0</v>
      </c>
      <c r="D38" s="35">
        <f>'Modèle de base (CM 2003)'!D38</f>
        <v>0</v>
      </c>
      <c r="E38" s="35">
        <f>'Modèle de base (CM 2003)'!E38</f>
        <v>0</v>
      </c>
      <c r="F38" s="35">
        <f>'Modèle de base (CM 2003)'!F38</f>
        <v>0</v>
      </c>
      <c r="G38" s="35">
        <f>'Modèle de base (CM 2003)'!G38</f>
        <v>0</v>
      </c>
      <c r="H38" s="35">
        <f>'Modèle de base (CM 2003)'!H38</f>
        <v>0</v>
      </c>
      <c r="I38" s="35">
        <f>'Modèle de base (CM 2003)'!I38</f>
        <v>0</v>
      </c>
      <c r="J38" s="35">
        <f>'Modèle de base (CM 2003)'!J38</f>
        <v>0</v>
      </c>
      <c r="K38" s="35">
        <f>'Modèle de base (CM 2003)'!K38</f>
        <v>0</v>
      </c>
      <c r="L38" s="35">
        <f>'Modèle de base (CM 2003)'!L38</f>
        <v>0</v>
      </c>
      <c r="M38" s="35">
        <f>'Modèle de base (CM 2003)'!M38</f>
        <v>0</v>
      </c>
    </row>
    <row r="39" spans="1:13" x14ac:dyDescent="0.3">
      <c r="A39" s="78" t="s">
        <v>34</v>
      </c>
      <c r="C39" s="35">
        <f>'Modèle de base (CM 2003)'!C39</f>
        <v>14450237.300000001</v>
      </c>
      <c r="D39" s="35">
        <f>'Modèle de base (CM 2003)'!D39</f>
        <v>72391494.580000013</v>
      </c>
      <c r="E39" s="35">
        <f>'Modèle de base (CM 2003)'!E39</f>
        <v>54722765.508000001</v>
      </c>
      <c r="F39" s="35">
        <f>'Modèle de base (CM 2003)'!F39</f>
        <v>41469139.447999999</v>
      </c>
      <c r="G39" s="35">
        <f>'Modèle de base (CM 2003)'!G39</f>
        <v>42554950.707999997</v>
      </c>
      <c r="H39" s="35">
        <f>'Modèle de base (CM 2003)'!H39</f>
        <v>38090104.267999992</v>
      </c>
      <c r="I39" s="35">
        <f>'Modèle de base (CM 2003)'!I39</f>
        <v>22807098.419999998</v>
      </c>
      <c r="J39" s="35">
        <f>'Modèle de base (CM 2003)'!J39</f>
        <v>20561889.611999996</v>
      </c>
      <c r="K39" s="35">
        <f>'Modèle de base (CM 2003)'!K39</f>
        <v>21590650.807999998</v>
      </c>
      <c r="L39" s="35">
        <f>'Modèle de base (CM 2003)'!L39</f>
        <v>20344454.923999999</v>
      </c>
      <c r="M39" s="35">
        <f>'Modèle de base (CM 2003)'!M39</f>
        <v>15427244.423999999</v>
      </c>
    </row>
    <row r="40" spans="1:13" x14ac:dyDescent="0.3">
      <c r="A40" s="78" t="s">
        <v>114</v>
      </c>
      <c r="C40" s="35">
        <f>C9*'Données fiscales'!C95</f>
        <v>0</v>
      </c>
      <c r="D40" s="35">
        <f>D9*'Données fiscales'!D95</f>
        <v>0</v>
      </c>
      <c r="E40" s="35">
        <f>E9*'Données fiscales'!E95</f>
        <v>2485288</v>
      </c>
      <c r="F40" s="35">
        <f>F9*'Données fiscales'!F95</f>
        <v>2798094</v>
      </c>
      <c r="G40" s="35">
        <f>G9*'Données fiscales'!G95</f>
        <v>2467491</v>
      </c>
      <c r="H40" s="35">
        <f>H9*'Données fiscales'!H95</f>
        <v>2188225</v>
      </c>
      <c r="I40" s="35">
        <f>I9*'Données fiscales'!I95</f>
        <v>2742623</v>
      </c>
      <c r="J40" s="35">
        <f>J9*'Données fiscales'!J95</f>
        <v>2180100</v>
      </c>
      <c r="K40" s="35">
        <f>K9*'Données fiscales'!K95</f>
        <v>1778387</v>
      </c>
      <c r="L40" s="35">
        <f>L9*'Données fiscales'!L95</f>
        <v>1986374</v>
      </c>
      <c r="M40" s="35">
        <f>M9*'Données fiscales'!M95</f>
        <v>1551810</v>
      </c>
    </row>
    <row r="41" spans="1:13" x14ac:dyDescent="0.3">
      <c r="A41" s="78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1:13" x14ac:dyDescent="0.3">
      <c r="A42" s="78" t="s">
        <v>21</v>
      </c>
      <c r="C42" s="35">
        <f>C9-(C$23+C$29+C$33+C$39+C$37+C$40)</f>
        <v>-88265560.818200514</v>
      </c>
      <c r="D42" s="35">
        <f t="shared" ref="D42:M42" si="5">D9-(D$23+D$29+D$33+D$39+D$37+D$40)</f>
        <v>-314152248.35370964</v>
      </c>
      <c r="E42" s="35">
        <f t="shared" si="5"/>
        <v>49299902.718290389</v>
      </c>
      <c r="F42" s="35">
        <f t="shared" si="5"/>
        <v>85731655.778290391</v>
      </c>
      <c r="G42" s="35">
        <f t="shared" si="5"/>
        <v>38519295.518290371</v>
      </c>
      <c r="H42" s="35">
        <f t="shared" si="5"/>
        <v>6065821.3670538664</v>
      </c>
      <c r="I42" s="35">
        <f t="shared" si="5"/>
        <v>73013847.215053856</v>
      </c>
      <c r="J42" s="35">
        <f t="shared" si="5"/>
        <v>46025624.023053855</v>
      </c>
      <c r="K42" s="35">
        <f t="shared" si="5"/>
        <v>32615258.827053845</v>
      </c>
      <c r="L42" s="35">
        <f t="shared" si="5"/>
        <v>66831176.711053848</v>
      </c>
      <c r="M42" s="35">
        <f t="shared" si="5"/>
        <v>118037880.02858077</v>
      </c>
    </row>
    <row r="43" spans="1:13" x14ac:dyDescent="0.3">
      <c r="A43" s="78" t="s">
        <v>22</v>
      </c>
      <c r="B43" s="36">
        <f>Q12</f>
        <v>0.27500000000000002</v>
      </c>
      <c r="C43" s="35">
        <f>'Données fiscales'!C100</f>
        <v>0</v>
      </c>
      <c r="D43" s="35">
        <f>'Données fiscales'!D100</f>
        <v>0</v>
      </c>
      <c r="E43" s="47">
        <f>'Données fiscales'!E100</f>
        <v>0.27500000000000002</v>
      </c>
      <c r="F43" s="47">
        <f>'Données fiscales'!F100</f>
        <v>0.27500000000000002</v>
      </c>
      <c r="G43" s="47">
        <f>'Données fiscales'!G100</f>
        <v>0.27500000000000002</v>
      </c>
      <c r="H43" s="47">
        <f>'Données fiscales'!H100</f>
        <v>0.27500000000000002</v>
      </c>
      <c r="I43" s="47">
        <f>'Données fiscales'!I100</f>
        <v>0.27500000000000002</v>
      </c>
      <c r="J43" s="47">
        <f>'Données fiscales'!J100</f>
        <v>0.27500000000000002</v>
      </c>
      <c r="K43" s="47">
        <f>'Données fiscales'!K100</f>
        <v>0.27500000000000002</v>
      </c>
      <c r="L43" s="47">
        <f>'Données fiscales'!L100</f>
        <v>0.27500000000000002</v>
      </c>
      <c r="M43" s="47">
        <f>'Données fiscales'!M100</f>
        <v>0.27500000000000002</v>
      </c>
    </row>
    <row r="44" spans="1:13" x14ac:dyDescent="0.3">
      <c r="A44" s="78" t="s">
        <v>23</v>
      </c>
      <c r="C44" s="35">
        <f>'Modèle de base (CM 2003)'!C43</f>
        <v>0</v>
      </c>
      <c r="D44" s="35">
        <f>'Modèle de base (CM 2003)'!D43</f>
        <v>0</v>
      </c>
      <c r="E44" s="35">
        <f>'Modèle de base (CM 2003)'!E43</f>
        <v>0</v>
      </c>
      <c r="F44" s="35">
        <f>'Modèle de base (CM 2003)'!F43</f>
        <v>0</v>
      </c>
      <c r="G44" s="35">
        <f>'Modèle de base (CM 2003)'!G43</f>
        <v>0</v>
      </c>
      <c r="H44" s="35">
        <f>'Modèle de base (CM 2003)'!H43</f>
        <v>0</v>
      </c>
      <c r="I44" s="35">
        <f>'Modèle de base (CM 2003)'!I43</f>
        <v>0</v>
      </c>
      <c r="J44" s="35">
        <f>'Modèle de base (CM 2003)'!J43</f>
        <v>1341600</v>
      </c>
      <c r="K44" s="35">
        <f>'Modèle de base (CM 2003)'!K43</f>
        <v>1094392</v>
      </c>
      <c r="L44" s="35">
        <f>'Modèle de base (CM 2003)'!L43</f>
        <v>1222384</v>
      </c>
      <c r="M44" s="35">
        <f>'Modèle de base (CM 2003)'!M43</f>
        <v>954960</v>
      </c>
    </row>
    <row r="45" spans="1:13" x14ac:dyDescent="0.3">
      <c r="A45" s="78" t="s">
        <v>24</v>
      </c>
      <c r="C45" s="35">
        <f>IF(C$42*$B$43&gt;C$44,C$42*$B$43,0)</f>
        <v>0</v>
      </c>
      <c r="D45" s="35">
        <f t="shared" ref="D45:M45" si="6">IF(D$42*$B$43&gt;D$44,D$42*$B$43,0)</f>
        <v>0</v>
      </c>
      <c r="E45" s="35">
        <f t="shared" si="6"/>
        <v>13557473.247529859</v>
      </c>
      <c r="F45" s="35">
        <f t="shared" si="6"/>
        <v>23576205.33902986</v>
      </c>
      <c r="G45" s="35">
        <f t="shared" si="6"/>
        <v>10592806.267529853</v>
      </c>
      <c r="H45" s="35">
        <f t="shared" si="6"/>
        <v>1668100.8759398134</v>
      </c>
      <c r="I45" s="35">
        <f t="shared" si="6"/>
        <v>20078807.984139811</v>
      </c>
      <c r="J45" s="35">
        <f t="shared" si="6"/>
        <v>12657046.60633981</v>
      </c>
      <c r="K45" s="35">
        <f t="shared" si="6"/>
        <v>8969196.1774398088</v>
      </c>
      <c r="L45" s="35">
        <f t="shared" si="6"/>
        <v>18378573.595539808</v>
      </c>
      <c r="M45" s="35">
        <f t="shared" si="6"/>
        <v>32460417.007859714</v>
      </c>
    </row>
    <row r="46" spans="1:13" x14ac:dyDescent="0.3">
      <c r="A46" s="78"/>
      <c r="C46" s="35">
        <f>'Modèle de base (CM 2003)'!C45</f>
        <v>0</v>
      </c>
      <c r="D46" s="35">
        <f>'Modèle de base (CM 2003)'!D45</f>
        <v>0</v>
      </c>
      <c r="E46" s="35">
        <f>'Modèle de base (CM 2003)'!E45</f>
        <v>0</v>
      </c>
      <c r="F46" s="35">
        <f>'Modèle de base (CM 2003)'!F45</f>
        <v>0</v>
      </c>
      <c r="G46" s="35">
        <f>'Modèle de base (CM 2003)'!G45</f>
        <v>0</v>
      </c>
      <c r="H46" s="35">
        <f>'Modèle de base (CM 2003)'!H45</f>
        <v>0</v>
      </c>
      <c r="I46" s="35">
        <f>'Modèle de base (CM 2003)'!I45</f>
        <v>0</v>
      </c>
      <c r="J46" s="35">
        <f>'Modèle de base (CM 2003)'!J45</f>
        <v>0</v>
      </c>
      <c r="K46" s="35">
        <f>'Modèle de base (CM 2003)'!K45</f>
        <v>0</v>
      </c>
      <c r="L46" s="35">
        <f>'Modèle de base (CM 2003)'!L45</f>
        <v>0</v>
      </c>
      <c r="M46" s="35">
        <f>'Modèle de base (CM 2003)'!M45</f>
        <v>0</v>
      </c>
    </row>
    <row r="47" spans="1:13" x14ac:dyDescent="0.3">
      <c r="A47" s="78" t="s">
        <v>37</v>
      </c>
      <c r="C47" s="35">
        <f>C$42-C$45</f>
        <v>-88265560.818200514</v>
      </c>
      <c r="D47" s="35">
        <f t="shared" ref="D47:M47" si="7">D$42-D$45</f>
        <v>-314152248.35370964</v>
      </c>
      <c r="E47" s="35">
        <f t="shared" si="7"/>
        <v>35742429.470760532</v>
      </c>
      <c r="F47" s="35">
        <f t="shared" si="7"/>
        <v>62155450.439260527</v>
      </c>
      <c r="G47" s="35">
        <f t="shared" si="7"/>
        <v>27926489.250760518</v>
      </c>
      <c r="H47" s="35">
        <f t="shared" si="7"/>
        <v>4397720.4911140529</v>
      </c>
      <c r="I47" s="35">
        <f t="shared" si="7"/>
        <v>52935039.230914041</v>
      </c>
      <c r="J47" s="35">
        <f t="shared" si="7"/>
        <v>33368577.416714042</v>
      </c>
      <c r="K47" s="35">
        <f t="shared" si="7"/>
        <v>23646062.649614036</v>
      </c>
      <c r="L47" s="35">
        <f t="shared" si="7"/>
        <v>48452603.11551404</v>
      </c>
      <c r="M47" s="35">
        <f t="shared" si="7"/>
        <v>85577463.020721048</v>
      </c>
    </row>
    <row r="48" spans="1:13" x14ac:dyDescent="0.3">
      <c r="A48" s="80" t="s">
        <v>38</v>
      </c>
      <c r="B48" s="19">
        <v>0.1</v>
      </c>
      <c r="C48" s="35">
        <f>'Modèle de base (CM 2003)'!C47</f>
        <v>0</v>
      </c>
      <c r="D48" s="35">
        <f>'Modèle de base (CM 2003)'!D47</f>
        <v>0</v>
      </c>
      <c r="E48" s="35">
        <f>'Modèle de base (CM 2003)'!E47</f>
        <v>0</v>
      </c>
      <c r="F48" s="35">
        <f>'Modèle de base (CM 2003)'!F47</f>
        <v>0</v>
      </c>
      <c r="G48" s="35">
        <f>'Modèle de base (CM 2003)'!G47</f>
        <v>0</v>
      </c>
      <c r="H48" s="35">
        <f>'Modèle de base (CM 2003)'!H47</f>
        <v>0</v>
      </c>
      <c r="I48" s="35">
        <f>'Modèle de base (CM 2003)'!I47</f>
        <v>0</v>
      </c>
      <c r="J48" s="35">
        <f>'Modèle de base (CM 2003)'!J47</f>
        <v>0</v>
      </c>
      <c r="K48" s="35">
        <f>'Modèle de base (CM 2003)'!K47</f>
        <v>0</v>
      </c>
      <c r="L48" s="35">
        <f>'Modèle de base (CM 2003)'!L47</f>
        <v>0</v>
      </c>
      <c r="M48" s="35">
        <f>'Modèle de base (CM 2003)'!M47</f>
        <v>0</v>
      </c>
    </row>
    <row r="49" spans="1:13" x14ac:dyDescent="0.3">
      <c r="A49" s="80" t="s">
        <v>39</v>
      </c>
      <c r="C49" s="35">
        <f>IF(C47&gt;0,C47*$B$48,0)</f>
        <v>0</v>
      </c>
      <c r="D49" s="35">
        <f t="shared" ref="D49:M49" si="8">IF(D47&gt;0,D47*$B$48,0)</f>
        <v>0</v>
      </c>
      <c r="E49" s="35">
        <f t="shared" si="8"/>
        <v>3574242.9470760534</v>
      </c>
      <c r="F49" s="35">
        <f t="shared" si="8"/>
        <v>6215545.0439260527</v>
      </c>
      <c r="G49" s="35">
        <f t="shared" si="8"/>
        <v>2792648.9250760521</v>
      </c>
      <c r="H49" s="35">
        <f t="shared" si="8"/>
        <v>439772.04911140533</v>
      </c>
      <c r="I49" s="35">
        <f t="shared" si="8"/>
        <v>5293503.9230914041</v>
      </c>
      <c r="J49" s="35">
        <f t="shared" si="8"/>
        <v>3336857.7416714043</v>
      </c>
      <c r="K49" s="35">
        <f t="shared" si="8"/>
        <v>2364606.2649614038</v>
      </c>
      <c r="L49" s="35">
        <f t="shared" si="8"/>
        <v>4845260.3115514042</v>
      </c>
      <c r="M49" s="35">
        <f t="shared" si="8"/>
        <v>8557746.3020721059</v>
      </c>
    </row>
    <row r="50" spans="1:13" x14ac:dyDescent="0.3">
      <c r="A50" s="80" t="s">
        <v>40</v>
      </c>
      <c r="C50" s="35">
        <f>C$47-C$49</f>
        <v>-88265560.818200514</v>
      </c>
      <c r="D50" s="35">
        <f t="shared" ref="D50:M50" si="9">D$47-D$49</f>
        <v>-314152248.35370964</v>
      </c>
      <c r="E50" s="35">
        <f t="shared" si="9"/>
        <v>32168186.523684479</v>
      </c>
      <c r="F50" s="35">
        <f t="shared" si="9"/>
        <v>55939905.395334475</v>
      </c>
      <c r="G50" s="35">
        <f t="shared" si="9"/>
        <v>25133840.325684465</v>
      </c>
      <c r="H50" s="35">
        <f t="shared" si="9"/>
        <v>3957948.4420026476</v>
      </c>
      <c r="I50" s="35">
        <f t="shared" si="9"/>
        <v>47641535.307822637</v>
      </c>
      <c r="J50" s="35">
        <f t="shared" si="9"/>
        <v>30031719.675042637</v>
      </c>
      <c r="K50" s="35">
        <f t="shared" si="9"/>
        <v>21281456.384652633</v>
      </c>
      <c r="L50" s="35">
        <f t="shared" si="9"/>
        <v>43607342.803962633</v>
      </c>
      <c r="M50" s="35">
        <f t="shared" si="9"/>
        <v>77019716.71864894</v>
      </c>
    </row>
    <row r="51" spans="1:13" x14ac:dyDescent="0.3">
      <c r="A51" s="80" t="s">
        <v>41</v>
      </c>
      <c r="C51" s="35">
        <f>IF(C50&gt;0,'Données fiscales'!C72*C50,0)</f>
        <v>0</v>
      </c>
      <c r="D51" s="35">
        <f>IF(D50&gt;0,'Données fiscales'!D72*D50,0)</f>
        <v>0</v>
      </c>
      <c r="E51" s="35">
        <f>IF(E50&gt;0,'Données fiscales'!E72*E50,0)</f>
        <v>2010511.65773028</v>
      </c>
      <c r="F51" s="35">
        <f>IF(F50&gt;0,'Données fiscales'!F72*F50,0)</f>
        <v>3496244.0872084047</v>
      </c>
      <c r="G51" s="35">
        <f>IF(G50&gt;0,'Données fiscales'!G72*G50,0)</f>
        <v>1570865.0203552791</v>
      </c>
      <c r="H51" s="35">
        <f>IF(H50&gt;0,'Données fiscales'!H72*H50,0)</f>
        <v>247371.77762516547</v>
      </c>
      <c r="I51" s="35">
        <f>IF(I50&gt;0,'Données fiscales'!I72*I50,0)</f>
        <v>2977595.9567389148</v>
      </c>
      <c r="J51" s="35">
        <f>IF(J50&gt;0,'Données fiscales'!J72*J50,0)</f>
        <v>1876982.4796901648</v>
      </c>
      <c r="K51" s="35">
        <f>IF(K50&gt;0,'Données fiscales'!K72*K50,0)</f>
        <v>1330091.0240407896</v>
      </c>
      <c r="L51" s="35">
        <f>IF(L50&gt;0,'Données fiscales'!L72*L50,0)</f>
        <v>2725458.9252476646</v>
      </c>
      <c r="M51" s="35">
        <f>IF(M50&gt;0,'Données fiscales'!M72*M50,0)</f>
        <v>4813732.2949155588</v>
      </c>
    </row>
    <row r="52" spans="1:13" x14ac:dyDescent="0.3">
      <c r="A52" s="80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3" spans="1:13" x14ac:dyDescent="0.3">
      <c r="A53" s="78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</row>
    <row r="54" spans="1:13" ht="15" thickBot="1" x14ac:dyDescent="0.35">
      <c r="A54" s="81" t="s">
        <v>42</v>
      </c>
      <c r="C54" s="35">
        <f>C$29+C$33+C$37+C$40+C$45+C$49+C$51</f>
        <v>369531.51820050302</v>
      </c>
      <c r="D54" s="35">
        <f t="shared" ref="D54:M54" si="10">D$29+D$33+D$37+D$40+D$45+D$49+D$51</f>
        <v>352936.77370961802</v>
      </c>
      <c r="E54" s="35">
        <f t="shared" si="10"/>
        <v>31921604.626045808</v>
      </c>
      <c r="F54" s="35">
        <f t="shared" si="10"/>
        <v>47631401.243873931</v>
      </c>
      <c r="G54" s="35">
        <f t="shared" si="10"/>
        <v>27646711.986670803</v>
      </c>
      <c r="H54" s="35">
        <f t="shared" si="10"/>
        <v>13766952.067622541</v>
      </c>
      <c r="I54" s="35">
        <f t="shared" si="10"/>
        <v>42533605.228916287</v>
      </c>
      <c r="J54" s="35">
        <f t="shared" si="10"/>
        <v>29241969.192647539</v>
      </c>
      <c r="K54" s="35">
        <f t="shared" si="10"/>
        <v>22026410.831388157</v>
      </c>
      <c r="L54" s="35">
        <f t="shared" si="10"/>
        <v>36351745.197285034</v>
      </c>
      <c r="M54" s="35">
        <f t="shared" si="10"/>
        <v>54296819.152266614</v>
      </c>
    </row>
    <row r="55" spans="1:13" x14ac:dyDescent="0.3">
      <c r="A55" s="78" t="s">
        <v>25</v>
      </c>
      <c r="C55" s="41">
        <f>C$25-C$54</f>
        <v>-73815323.518200502</v>
      </c>
      <c r="D55" s="41">
        <f t="shared" ref="D55:M55" si="11">D$25-D$54</f>
        <v>-241760753.77370963</v>
      </c>
      <c r="E55" s="41">
        <f t="shared" si="11"/>
        <v>84880440.373954192</v>
      </c>
      <c r="F55" s="41">
        <f t="shared" si="11"/>
        <v>93912800.756126076</v>
      </c>
      <c r="G55" s="41">
        <f t="shared" si="11"/>
        <v>66117926.013329193</v>
      </c>
      <c r="H55" s="41">
        <f t="shared" si="11"/>
        <v>41800680.932377458</v>
      </c>
      <c r="I55" s="41">
        <f t="shared" si="11"/>
        <v>67471037.771083713</v>
      </c>
      <c r="J55" s="41">
        <f t="shared" si="11"/>
        <v>48716626.807352461</v>
      </c>
      <c r="K55" s="41">
        <f t="shared" si="11"/>
        <v>41542016.168611839</v>
      </c>
      <c r="L55" s="41">
        <f t="shared" si="11"/>
        <v>61226338.802714966</v>
      </c>
      <c r="M55" s="41">
        <f t="shared" si="11"/>
        <v>87633228.847733378</v>
      </c>
    </row>
    <row r="56" spans="1:13" x14ac:dyDescent="0.3">
      <c r="A56" s="78" t="s">
        <v>26</v>
      </c>
      <c r="C56" s="35">
        <f>NPV($B$11,C55:M55)</f>
        <v>140525293.95441994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7" spans="1:13" x14ac:dyDescent="0.3">
      <c r="A57" s="78" t="s">
        <v>27</v>
      </c>
      <c r="C57" s="45">
        <f>1-(C$56/C$26)</f>
        <v>0.60766342524003847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</row>
    <row r="58" spans="1:13" x14ac:dyDescent="0.3">
      <c r="A58" s="78" t="s">
        <v>28</v>
      </c>
      <c r="C58" s="45">
        <f>IRR(C55:M55)</f>
        <v>0.15060914785503532</v>
      </c>
      <c r="D58" s="35"/>
      <c r="E58" s="50"/>
      <c r="F58" s="50">
        <f>IRR($C$55:F55)</f>
        <v>-0.27435600348244482</v>
      </c>
      <c r="G58" s="50">
        <f>IRR($C$55:G55)</f>
        <v>-0.10965259589526311</v>
      </c>
      <c r="H58" s="50">
        <f>IRR($C$55:H55)</f>
        <v>-3.798194866421345E-2</v>
      </c>
      <c r="I58" s="50">
        <f>IRR($C$55:I55)</f>
        <v>3.9866810787317908E-2</v>
      </c>
      <c r="J58" s="50">
        <f>IRR($C$55:J55)</f>
        <v>7.7305813904541498E-2</v>
      </c>
      <c r="K58" s="50">
        <f>IRR($C$55:K55)</f>
        <v>0.10075814030316699</v>
      </c>
      <c r="L58" s="50">
        <f>IRR($C$55:L55)</f>
        <v>0.1258743904305053</v>
      </c>
      <c r="M58" s="50">
        <f>IRR($C$55:M55)</f>
        <v>0.15060914785503532</v>
      </c>
    </row>
    <row r="59" spans="1:13" x14ac:dyDescent="0.3">
      <c r="A59" s="78" t="s">
        <v>40</v>
      </c>
      <c r="C59" s="36">
        <f>1-C57</f>
        <v>0.39233657475996153</v>
      </c>
    </row>
    <row r="61" spans="1:13" x14ac:dyDescent="0.3">
      <c r="E61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6C4E-6873-4173-89DE-96823996ECF4}">
  <sheetPr>
    <tabColor rgb="FFFFFF00"/>
  </sheetPr>
  <dimension ref="A1:V59"/>
  <sheetViews>
    <sheetView workbookViewId="0">
      <pane xSplit="1" topLeftCell="N1" activePane="topRight" state="frozen"/>
      <selection activeCell="A44" sqref="A44"/>
      <selection pane="topRight" activeCell="P14" sqref="P14"/>
    </sheetView>
  </sheetViews>
  <sheetFormatPr baseColWidth="10" defaultRowHeight="14.4" x14ac:dyDescent="0.3"/>
  <cols>
    <col min="1" max="1" width="54.88671875" bestFit="1" customWidth="1"/>
    <col min="3" max="13" width="15.109375" bestFit="1" customWidth="1"/>
    <col min="16" max="16" width="29.77734375" bestFit="1" customWidth="1"/>
    <col min="18" max="19" width="12.5546875" bestFit="1" customWidth="1"/>
  </cols>
  <sheetData>
    <row r="1" spans="1:22" ht="18" x14ac:dyDescent="0.35">
      <c r="A1" s="77" t="s">
        <v>211</v>
      </c>
      <c r="B1" t="s">
        <v>0</v>
      </c>
      <c r="C1">
        <f>'Modèle de base (CM 2003)'!C1</f>
        <v>2011</v>
      </c>
      <c r="D1">
        <f>'Modèle de base (CM 2003)'!D1</f>
        <v>2012</v>
      </c>
      <c r="E1">
        <f>'Modèle de base (CM 2003)'!E1</f>
        <v>2013</v>
      </c>
      <c r="F1">
        <f>'Modèle de base (CM 2003)'!F1</f>
        <v>2014</v>
      </c>
      <c r="G1">
        <f>'Modèle de base (CM 2003)'!G1</f>
        <v>2015</v>
      </c>
      <c r="H1">
        <f>'Modèle de base (CM 2003)'!H1</f>
        <v>2016</v>
      </c>
      <c r="I1">
        <f>'Modèle de base (CM 2003)'!I1</f>
        <v>2017</v>
      </c>
      <c r="J1">
        <f>'Modèle de base (CM 2003)'!J1</f>
        <v>2018</v>
      </c>
      <c r="K1">
        <f>'Modèle de base (CM 2003)'!K1</f>
        <v>2019</v>
      </c>
      <c r="L1">
        <f>'Modèle de base (CM 2003)'!L1</f>
        <v>2020</v>
      </c>
      <c r="M1">
        <f>'Modèle de base (CM 2003)'!M1</f>
        <v>2021</v>
      </c>
    </row>
    <row r="2" spans="1:22" x14ac:dyDescent="0.3">
      <c r="A2" s="78"/>
      <c r="C2" s="40">
        <f>'Modèle de base (CM 2003)'!C2</f>
        <v>0</v>
      </c>
      <c r="D2" s="40">
        <f>'Modèle de base (CM 2003)'!D2</f>
        <v>0</v>
      </c>
      <c r="E2" s="40">
        <f>'Modèle de base (CM 2003)'!E2</f>
        <v>0</v>
      </c>
      <c r="F2" s="40">
        <f>'Modèle de base (CM 2003)'!F2</f>
        <v>0</v>
      </c>
      <c r="G2" s="40">
        <f>'Modèle de base (CM 2003)'!G2</f>
        <v>0</v>
      </c>
      <c r="H2" s="40">
        <f>'Modèle de base (CM 2003)'!H2</f>
        <v>0</v>
      </c>
      <c r="I2" s="40">
        <f>'Modèle de base (CM 2003)'!I2</f>
        <v>0</v>
      </c>
      <c r="J2" s="40">
        <f>'Modèle de base (CM 2003)'!J2</f>
        <v>0</v>
      </c>
      <c r="K2" s="40">
        <f>'Modèle de base (CM 2003)'!K2</f>
        <v>0</v>
      </c>
      <c r="L2" s="40">
        <f>'Modèle de base (CM 2003)'!L2</f>
        <v>0</v>
      </c>
      <c r="M2">
        <f>'Modèle de base (CM 2003)'!M2</f>
        <v>0</v>
      </c>
    </row>
    <row r="3" spans="1:22" x14ac:dyDescent="0.3">
      <c r="A3" s="78"/>
      <c r="C3" s="40">
        <f>'Modèle de base (CM 2003)'!C3</f>
        <v>0</v>
      </c>
      <c r="D3" s="40">
        <f>'Modèle de base (CM 2003)'!D3</f>
        <v>0</v>
      </c>
      <c r="E3" s="40">
        <f>'Modèle de base (CM 2003)'!E3</f>
        <v>0</v>
      </c>
      <c r="F3" s="40">
        <f>'Modèle de base (CM 2003)'!F3</f>
        <v>0</v>
      </c>
      <c r="G3" s="40">
        <f>'Modèle de base (CM 2003)'!G3</f>
        <v>0</v>
      </c>
      <c r="H3" s="40">
        <f>'Modèle de base (CM 2003)'!H3</f>
        <v>0</v>
      </c>
      <c r="I3" s="40">
        <f>'Modèle de base (CM 2003)'!I3</f>
        <v>0</v>
      </c>
      <c r="J3" s="40">
        <f>'Modèle de base (CM 2003)'!J3</f>
        <v>0</v>
      </c>
      <c r="K3" s="40">
        <f>'Modèle de base (CM 2003)'!K3</f>
        <v>0</v>
      </c>
      <c r="L3" s="40">
        <f>'Modèle de base (CM 2003)'!L3</f>
        <v>0</v>
      </c>
      <c r="M3">
        <f>'Modèle de base (CM 2003)'!M3</f>
        <v>0</v>
      </c>
    </row>
    <row r="4" spans="1:22" ht="18" x14ac:dyDescent="0.35">
      <c r="A4" s="77" t="s">
        <v>1</v>
      </c>
      <c r="C4" s="40">
        <f>'Modèle de base (CM 2003)'!C4</f>
        <v>0</v>
      </c>
      <c r="D4" s="40">
        <f>'Modèle de base (CM 2003)'!D4</f>
        <v>0</v>
      </c>
      <c r="E4" s="40">
        <f>'Modèle de base (CM 2003)'!E4</f>
        <v>0</v>
      </c>
      <c r="F4" s="40">
        <f>'Modèle de base (CM 2003)'!F4</f>
        <v>0</v>
      </c>
      <c r="G4" s="40">
        <f>'Modèle de base (CM 2003)'!G4</f>
        <v>0</v>
      </c>
      <c r="H4" s="40">
        <f>'Modèle de base (CM 2003)'!H4</f>
        <v>0</v>
      </c>
      <c r="I4" s="40">
        <f>'Modèle de base (CM 2003)'!I4</f>
        <v>0</v>
      </c>
      <c r="J4" s="40">
        <f>'Modèle de base (CM 2003)'!J4</f>
        <v>0</v>
      </c>
      <c r="K4" s="40">
        <f>'Modèle de base (CM 2003)'!K4</f>
        <v>0</v>
      </c>
      <c r="L4" s="40">
        <f>'Modèle de base (CM 2003)'!L4</f>
        <v>0</v>
      </c>
      <c r="M4">
        <f>'Modèle de base (CM 2003)'!M4</f>
        <v>0</v>
      </c>
      <c r="P4" s="87"/>
      <c r="Q4" s="87" t="s">
        <v>125</v>
      </c>
      <c r="R4" s="87" t="s">
        <v>121</v>
      </c>
      <c r="S4" s="87" t="s">
        <v>122</v>
      </c>
      <c r="T4" s="87" t="s">
        <v>27</v>
      </c>
      <c r="U4" s="87" t="s">
        <v>123</v>
      </c>
      <c r="V4" s="87" t="s">
        <v>124</v>
      </c>
    </row>
    <row r="5" spans="1:22" x14ac:dyDescent="0.3">
      <c r="A5" s="78" t="s">
        <v>2</v>
      </c>
      <c r="B5" t="s">
        <v>3</v>
      </c>
      <c r="C5" s="40">
        <f>'Modèle de base (CM 2003)'!C5</f>
        <v>0</v>
      </c>
      <c r="D5" s="40">
        <f>'Modèle de base (CM 2003)'!D5</f>
        <v>0</v>
      </c>
      <c r="E5" s="40">
        <f>'Modèle de base (CM 2003)'!E5</f>
        <v>0</v>
      </c>
      <c r="F5" s="40">
        <f>'Modèle de base (CM 2003)'!F5</f>
        <v>0</v>
      </c>
      <c r="G5" s="40">
        <f>'Modèle de base (CM 2003)'!G5</f>
        <v>0</v>
      </c>
      <c r="H5" s="40">
        <f>'Modèle de base (CM 2003)'!H5</f>
        <v>0</v>
      </c>
      <c r="I5" s="40">
        <f>'Modèle de base (CM 2003)'!I5</f>
        <v>0</v>
      </c>
      <c r="J5" s="40">
        <f>'Modèle de base (CM 2003)'!J5</f>
        <v>0</v>
      </c>
      <c r="K5" s="40">
        <f>'Modèle de base (CM 2003)'!K5</f>
        <v>0</v>
      </c>
      <c r="L5" s="40">
        <f>'Modèle de base (CM 2003)'!L5</f>
        <v>0</v>
      </c>
      <c r="M5">
        <f>'Modèle de base (CM 2003)'!M5</f>
        <v>0</v>
      </c>
      <c r="P5" s="87" t="s">
        <v>8</v>
      </c>
      <c r="Q5" s="83">
        <v>1300</v>
      </c>
      <c r="R5" s="84">
        <f>C26</f>
        <v>358175360.12388295</v>
      </c>
      <c r="S5" s="84">
        <f>C56</f>
        <v>99393777.444195241</v>
      </c>
      <c r="T5" s="85">
        <f>C57</f>
        <v>0.72249967890081079</v>
      </c>
      <c r="U5" s="86">
        <f>C27</f>
        <v>0.27738178816017744</v>
      </c>
      <c r="V5" s="86">
        <f>C58</f>
        <v>0.12307964415822847</v>
      </c>
    </row>
    <row r="6" spans="1:22" x14ac:dyDescent="0.3">
      <c r="A6" s="78" t="s">
        <v>4</v>
      </c>
      <c r="B6" t="s">
        <v>5</v>
      </c>
      <c r="C6" s="40">
        <f>'Modèle de base (CM 2003)'!C6</f>
        <v>0</v>
      </c>
      <c r="D6" s="40">
        <f>'Modèle de base (CM 2003)'!D6</f>
        <v>0</v>
      </c>
      <c r="E6" s="40">
        <f>'Modèle de base (CM 2003)'!E6</f>
        <v>0</v>
      </c>
      <c r="F6" s="40">
        <f>'Modèle de base (CM 2003)'!F6</f>
        <v>0</v>
      </c>
      <c r="G6" s="40">
        <f>'Modèle de base (CM 2003)'!G6</f>
        <v>0</v>
      </c>
      <c r="H6" s="40">
        <f>'Modèle de base (CM 2003)'!H6</f>
        <v>0</v>
      </c>
      <c r="I6" s="40">
        <f>'Modèle de base (CM 2003)'!I6</f>
        <v>0</v>
      </c>
      <c r="J6" s="40">
        <f>'Modèle de base (CM 2003)'!J6</f>
        <v>0</v>
      </c>
      <c r="K6" s="40">
        <f>'Modèle de base (CM 2003)'!K6</f>
        <v>0</v>
      </c>
      <c r="L6" s="40">
        <f>'Modèle de base (CM 2003)'!L6</f>
        <v>0</v>
      </c>
      <c r="M6">
        <f>'Modèle de base (CM 2003)'!M6</f>
        <v>0</v>
      </c>
      <c r="P6" s="87" t="s">
        <v>36</v>
      </c>
      <c r="Q6" s="86">
        <v>0.05</v>
      </c>
      <c r="R6" s="83"/>
      <c r="S6" s="83"/>
      <c r="T6" s="83"/>
      <c r="U6" s="83"/>
      <c r="V6" s="83"/>
    </row>
    <row r="7" spans="1:22" x14ac:dyDescent="0.3">
      <c r="A7" s="78" t="s">
        <v>6</v>
      </c>
      <c r="B7" t="s">
        <v>7</v>
      </c>
      <c r="C7" s="40">
        <f>'Modèle de base (CM 2003)'!C7</f>
        <v>0</v>
      </c>
      <c r="D7" s="40">
        <f>'Modèle de base (CM 2003)'!D7</f>
        <v>0</v>
      </c>
      <c r="E7" s="40">
        <f>'Modèle de base (CM 2003)'!E7</f>
        <v>191176</v>
      </c>
      <c r="F7" s="40">
        <f>'Modèle de base (CM 2003)'!F7</f>
        <v>215238</v>
      </c>
      <c r="G7" s="40">
        <f>'Modèle de base (CM 2003)'!G7</f>
        <v>189807</v>
      </c>
      <c r="H7" s="40">
        <f>'Modèle de base (CM 2003)'!H7</f>
        <v>168325</v>
      </c>
      <c r="I7" s="40">
        <f>'Modèle de base (CM 2003)'!I7</f>
        <v>210971</v>
      </c>
      <c r="J7" s="40">
        <f>'Modèle de base (CM 2003)'!J7</f>
        <v>167700</v>
      </c>
      <c r="K7" s="40">
        <f>'Modèle de base (CM 2003)'!K7</f>
        <v>136799</v>
      </c>
      <c r="L7" s="40">
        <f>'Modèle de base (CM 2003)'!L7</f>
        <v>152798</v>
      </c>
      <c r="M7">
        <f>'Modèle de base (CM 2003)'!M7</f>
        <v>119370</v>
      </c>
      <c r="P7" s="87" t="s">
        <v>119</v>
      </c>
      <c r="Q7" s="85">
        <v>0.27500000000000002</v>
      </c>
      <c r="R7" s="83"/>
      <c r="S7" s="83"/>
      <c r="T7" s="83"/>
      <c r="U7" s="83"/>
      <c r="V7" s="83"/>
    </row>
    <row r="8" spans="1:22" ht="18" x14ac:dyDescent="0.35">
      <c r="A8" s="77" t="s">
        <v>8</v>
      </c>
      <c r="B8">
        <f>Q5</f>
        <v>1300</v>
      </c>
      <c r="C8" s="40">
        <f>'Modèle de base (CM 2003)'!C8</f>
        <v>0</v>
      </c>
      <c r="D8" s="40">
        <f>'Modèle de base (CM 2003)'!D8</f>
        <v>0</v>
      </c>
      <c r="E8" s="40">
        <f>'Modèle de base (CM 2003)'!E8</f>
        <v>1300</v>
      </c>
      <c r="F8" s="40">
        <f>'Modèle de base (CM 2003)'!F8</f>
        <v>1300</v>
      </c>
      <c r="G8" s="40">
        <f>'Modèle de base (CM 2003)'!G8</f>
        <v>1300</v>
      </c>
      <c r="H8" s="40">
        <f>'Modèle de base (CM 2003)'!H8</f>
        <v>1300</v>
      </c>
      <c r="I8" s="40">
        <f>'Modèle de base (CM 2003)'!I8</f>
        <v>1300</v>
      </c>
      <c r="J8" s="40">
        <f>'Modèle de base (CM 2003)'!J8</f>
        <v>1300</v>
      </c>
      <c r="K8" s="40">
        <f>'Modèle de base (CM 2003)'!K8</f>
        <v>1300</v>
      </c>
      <c r="L8" s="40">
        <f>'Modèle de base (CM 2003)'!L8</f>
        <v>1300</v>
      </c>
      <c r="M8">
        <f>'Modèle de base (CM 2003)'!M8</f>
        <v>1300</v>
      </c>
      <c r="P8" s="88" t="s">
        <v>120</v>
      </c>
      <c r="Q8" s="86">
        <v>0.04</v>
      </c>
      <c r="R8" s="83"/>
      <c r="S8" s="83"/>
      <c r="T8" s="83"/>
      <c r="U8" s="83"/>
      <c r="V8" s="83"/>
    </row>
    <row r="9" spans="1:22" x14ac:dyDescent="0.3">
      <c r="A9" s="78" t="s">
        <v>10</v>
      </c>
      <c r="B9" t="s">
        <v>11</v>
      </c>
      <c r="C9" s="40">
        <f>$B$8*C7</f>
        <v>0</v>
      </c>
      <c r="D9" s="40">
        <f t="shared" ref="D9:M9" si="0">$B$8*D7</f>
        <v>0</v>
      </c>
      <c r="E9" s="40">
        <f t="shared" si="0"/>
        <v>248528800</v>
      </c>
      <c r="F9" s="40">
        <f t="shared" si="0"/>
        <v>279809400</v>
      </c>
      <c r="G9" s="40">
        <f t="shared" si="0"/>
        <v>246749100</v>
      </c>
      <c r="H9" s="40">
        <f t="shared" si="0"/>
        <v>218822500</v>
      </c>
      <c r="I9" s="40">
        <f t="shared" si="0"/>
        <v>274262300</v>
      </c>
      <c r="J9" s="40">
        <f t="shared" si="0"/>
        <v>218010000</v>
      </c>
      <c r="K9" s="40">
        <f t="shared" si="0"/>
        <v>177838700</v>
      </c>
      <c r="L9" s="40">
        <f t="shared" si="0"/>
        <v>198637400</v>
      </c>
      <c r="M9" s="40">
        <f t="shared" si="0"/>
        <v>155181000</v>
      </c>
    </row>
    <row r="10" spans="1:22" x14ac:dyDescent="0.3">
      <c r="A10" s="78" t="s">
        <v>35</v>
      </c>
      <c r="B10">
        <v>1.7700000000000001E-3</v>
      </c>
      <c r="C10" s="40">
        <f>'Modèle de base (CM 2003)'!C10</f>
        <v>0</v>
      </c>
      <c r="D10" s="40">
        <f>'Modèle de base (CM 2003)'!D10</f>
        <v>0</v>
      </c>
      <c r="E10" s="40">
        <f>'Modèle de base (CM 2003)'!E10</f>
        <v>0</v>
      </c>
      <c r="F10" s="40">
        <f>'Modèle de base (CM 2003)'!F10</f>
        <v>0</v>
      </c>
      <c r="G10" s="40">
        <f>'Modèle de base (CM 2003)'!G10</f>
        <v>0</v>
      </c>
      <c r="H10" s="40">
        <f>'Modèle de base (CM 2003)'!H10</f>
        <v>0</v>
      </c>
      <c r="I10" s="40">
        <f>'Modèle de base (CM 2003)'!I10</f>
        <v>0</v>
      </c>
      <c r="J10" s="40">
        <f>'Modèle de base (CM 2003)'!J10</f>
        <v>0</v>
      </c>
      <c r="K10" s="40">
        <f>'Modèle de base (CM 2003)'!K10</f>
        <v>0</v>
      </c>
      <c r="L10" s="40">
        <f>'Modèle de base (CM 2003)'!L10</f>
        <v>0</v>
      </c>
      <c r="M10">
        <f>'Modèle de base (CM 2003)'!M10</f>
        <v>0</v>
      </c>
    </row>
    <row r="11" spans="1:22" x14ac:dyDescent="0.3">
      <c r="A11" s="78" t="s">
        <v>36</v>
      </c>
      <c r="B11" s="19">
        <f>Q6</f>
        <v>0.05</v>
      </c>
      <c r="C11" s="40">
        <f>'Modèle de base (CM 2003)'!C11</f>
        <v>0</v>
      </c>
      <c r="D11" s="40">
        <f>'Modèle de base (CM 2003)'!D11</f>
        <v>0</v>
      </c>
      <c r="E11" s="40">
        <f>'Modèle de base (CM 2003)'!E11</f>
        <v>0</v>
      </c>
      <c r="F11" s="40">
        <f>'Modèle de base (CM 2003)'!F11</f>
        <v>0</v>
      </c>
      <c r="G11" s="40">
        <f>'Modèle de base (CM 2003)'!G11</f>
        <v>0</v>
      </c>
      <c r="H11" s="40">
        <f>'Modèle de base (CM 2003)'!H11</f>
        <v>0</v>
      </c>
      <c r="I11" s="40">
        <f>'Modèle de base (CM 2003)'!I11</f>
        <v>0</v>
      </c>
      <c r="J11" s="40">
        <f>'Modèle de base (CM 2003)'!J11</f>
        <v>0</v>
      </c>
      <c r="K11" s="40">
        <f>'Modèle de base (CM 2003)'!K11</f>
        <v>0</v>
      </c>
      <c r="L11" s="40">
        <f>'Modèle de base (CM 2003)'!L11</f>
        <v>0</v>
      </c>
      <c r="M11">
        <f>'Modèle de base (CM 2003)'!M11</f>
        <v>0</v>
      </c>
    </row>
    <row r="12" spans="1:22" x14ac:dyDescent="0.3">
      <c r="A12" s="78"/>
      <c r="C12" s="40">
        <f>'Modèle de base (CM 2003)'!C12</f>
        <v>0</v>
      </c>
      <c r="D12" s="40">
        <f>'Modèle de base (CM 2003)'!D12</f>
        <v>0</v>
      </c>
      <c r="E12" s="40">
        <f>'Modèle de base (CM 2003)'!E12</f>
        <v>0</v>
      </c>
      <c r="F12" s="40">
        <f>'Modèle de base (CM 2003)'!F12</f>
        <v>0</v>
      </c>
      <c r="G12" s="40">
        <f>'Modèle de base (CM 2003)'!G12</f>
        <v>0</v>
      </c>
      <c r="H12" s="40">
        <f>'Modèle de base (CM 2003)'!H12</f>
        <v>0</v>
      </c>
      <c r="I12" s="40">
        <f>'Modèle de base (CM 2003)'!I12</f>
        <v>0</v>
      </c>
      <c r="J12" s="40">
        <f>'Modèle de base (CM 2003)'!J12</f>
        <v>0</v>
      </c>
      <c r="K12" s="40">
        <f>'Modèle de base (CM 2003)'!K12</f>
        <v>0</v>
      </c>
      <c r="L12" s="40">
        <f>'Modèle de base (CM 2003)'!L12</f>
        <v>0</v>
      </c>
      <c r="M12">
        <f>'Modèle de base (CM 2003)'!M12</f>
        <v>0</v>
      </c>
    </row>
    <row r="13" spans="1:22" ht="18" x14ac:dyDescent="0.35">
      <c r="A13" s="77" t="s">
        <v>12</v>
      </c>
      <c r="C13" s="40">
        <f>'Modèle de base (CM 2003)'!C13</f>
        <v>0</v>
      </c>
      <c r="D13" s="40">
        <f>'Modèle de base (CM 2003)'!D13</f>
        <v>0</v>
      </c>
      <c r="E13" s="40">
        <f>'Modèle de base (CM 2003)'!E13</f>
        <v>0</v>
      </c>
      <c r="F13" s="40">
        <f>'Modèle de base (CM 2003)'!F13</f>
        <v>0</v>
      </c>
      <c r="G13" s="40">
        <f>'Modèle de base (CM 2003)'!G13</f>
        <v>0</v>
      </c>
      <c r="H13" s="40">
        <f>'Modèle de base (CM 2003)'!H13</f>
        <v>0</v>
      </c>
      <c r="I13" s="40">
        <f>'Modèle de base (CM 2003)'!I13</f>
        <v>0</v>
      </c>
      <c r="J13" s="40">
        <f>'Modèle de base (CM 2003)'!J13</f>
        <v>0</v>
      </c>
      <c r="K13" s="40">
        <f>'Modèle de base (CM 2003)'!K13</f>
        <v>0</v>
      </c>
      <c r="L13" s="40">
        <f>'Modèle de base (CM 2003)'!L13</f>
        <v>0</v>
      </c>
      <c r="M13">
        <f>'Modèle de base (CM 2003)'!M13</f>
        <v>0</v>
      </c>
    </row>
    <row r="14" spans="1:22" x14ac:dyDescent="0.3">
      <c r="A14" s="79" t="s">
        <v>110</v>
      </c>
      <c r="B14" t="s">
        <v>11</v>
      </c>
      <c r="C14" s="40">
        <f>'Modèle de base (CM 2003)'!C14</f>
        <v>49760265</v>
      </c>
      <c r="D14" s="40">
        <f>'Modèle de base (CM 2003)'!D14</f>
        <v>116107284</v>
      </c>
      <c r="E14" s="40">
        <f>'Modèle de base (CM 2003)'!E14</f>
        <v>0</v>
      </c>
      <c r="F14" s="40">
        <f>'Modèle de base (CM 2003)'!F14</f>
        <v>0</v>
      </c>
      <c r="G14" s="40">
        <f>'Modèle de base (CM 2003)'!G14</f>
        <v>0</v>
      </c>
      <c r="H14" s="40">
        <f>'Modèle de base (CM 2003)'!H14</f>
        <v>0</v>
      </c>
      <c r="I14" s="40">
        <f>'Modèle de base (CM 2003)'!I14</f>
        <v>0</v>
      </c>
      <c r="J14" s="40">
        <f>'Modèle de base (CM 2003)'!J14</f>
        <v>0</v>
      </c>
      <c r="K14" s="40">
        <f>'Modèle de base (CM 2003)'!K14</f>
        <v>0</v>
      </c>
      <c r="L14" s="40">
        <f>'Modèle de base (CM 2003)'!L14</f>
        <v>0</v>
      </c>
      <c r="M14">
        <f>'Modèle de base (CM 2003)'!M14</f>
        <v>0</v>
      </c>
    </row>
    <row r="15" spans="1:22" x14ac:dyDescent="0.3">
      <c r="A15" s="79" t="s">
        <v>111</v>
      </c>
      <c r="C15" s="40">
        <f>'Modèle de base (CM 2003)'!C15</f>
        <v>23685527</v>
      </c>
      <c r="D15" s="40">
        <f>'Modèle de base (CM 2003)'!D15</f>
        <v>125300533</v>
      </c>
      <c r="E15" s="40">
        <f>'Modèle de base (CM 2003)'!E15</f>
        <v>11632917</v>
      </c>
      <c r="F15" s="40">
        <f>'Modèle de base (CM 2003)'!F15</f>
        <v>3722927</v>
      </c>
      <c r="G15" s="40">
        <f>'Modèle de base (CM 2003)'!G15</f>
        <v>18272647</v>
      </c>
      <c r="H15" s="40">
        <f>'Modèle de base (CM 2003)'!H15</f>
        <v>4482500</v>
      </c>
      <c r="I15" s="40">
        <f>'Modèle de base (CM 2003)'!I15</f>
        <v>2137128</v>
      </c>
      <c r="J15" s="40">
        <f>'Modèle de base (CM 2003)'!J15</f>
        <v>1103055</v>
      </c>
      <c r="K15" s="40">
        <f>'Modèle de base (CM 2003)'!K15</f>
        <v>4934651</v>
      </c>
      <c r="L15" s="40">
        <f>'Modèle de base (CM 2003)'!L15</f>
        <v>2727670</v>
      </c>
      <c r="M15">
        <f>'Modèle de base (CM 2003)'!M15</f>
        <v>542926</v>
      </c>
    </row>
    <row r="16" spans="1:22" x14ac:dyDescent="0.3">
      <c r="A16" s="78" t="s">
        <v>113</v>
      </c>
      <c r="B16" t="s">
        <v>11</v>
      </c>
      <c r="C16" s="40">
        <f>'Modèle de base (CM 2003)'!C16</f>
        <v>0</v>
      </c>
      <c r="D16" s="40">
        <f>'Modèle de base (CM 2003)'!D16</f>
        <v>0</v>
      </c>
      <c r="E16" s="40">
        <f>'Modèle de base (CM 2003)'!E16</f>
        <v>1595000</v>
      </c>
      <c r="F16" s="40">
        <f>'Modèle de base (CM 2003)'!F16</f>
        <v>2708200</v>
      </c>
      <c r="G16" s="40">
        <f>'Modèle de base (CM 2003)'!G16</f>
        <v>249700</v>
      </c>
      <c r="H16" s="40">
        <f>'Modèle de base (CM 2003)'!H16</f>
        <v>2581553</v>
      </c>
      <c r="I16" s="40">
        <f>'Modèle de base (CM 2003)'!I16</f>
        <v>469553</v>
      </c>
      <c r="J16" s="40">
        <f>'Modèle de base (CM 2003)'!J16</f>
        <v>3654542</v>
      </c>
      <c r="K16" s="40">
        <f>'Modèle de base (CM 2003)'!K16</f>
        <v>249700</v>
      </c>
      <c r="L16" s="40">
        <f>'Modèle de base (CM 2003)'!L16</f>
        <v>106700</v>
      </c>
      <c r="M16">
        <f>'Modèle de base (CM 2003)'!M16</f>
        <v>0</v>
      </c>
    </row>
    <row r="17" spans="1:13" x14ac:dyDescent="0.3">
      <c r="A17" s="79" t="s">
        <v>112</v>
      </c>
      <c r="B17" t="s">
        <v>11</v>
      </c>
      <c r="C17" s="40">
        <f>'Modèle de base (CM 2003)'!C17</f>
        <v>0</v>
      </c>
      <c r="D17" s="40">
        <f>'Modèle de base (CM 2003)'!D17</f>
        <v>0</v>
      </c>
      <c r="E17" s="40">
        <f>'Modèle de base (CM 2003)'!E17</f>
        <v>2830244</v>
      </c>
      <c r="F17" s="40">
        <f>'Modèle de base (CM 2003)'!F17</f>
        <v>3314368</v>
      </c>
      <c r="G17" s="40">
        <f>'Modèle de base (CM 2003)'!G17</f>
        <v>3215137</v>
      </c>
      <c r="H17" s="40">
        <f>'Modèle de base (CM 2003)'!H17</f>
        <v>3842412</v>
      </c>
      <c r="I17" s="40">
        <f>'Modèle de base (CM 2003)'!I17</f>
        <v>4018506</v>
      </c>
      <c r="J17" s="40">
        <f>'Modèle de base (CM 2003)'!J17</f>
        <v>2935298</v>
      </c>
      <c r="K17" s="40">
        <f>'Modèle de base (CM 2003)'!K17</f>
        <v>1813443</v>
      </c>
      <c r="L17" s="40">
        <f>'Modèle de base (CM 2003)'!L17</f>
        <v>1249254</v>
      </c>
      <c r="M17">
        <f>'Modèle de base (CM 2003)'!M17</f>
        <v>3165512</v>
      </c>
    </row>
    <row r="18" spans="1:13" x14ac:dyDescent="0.3">
      <c r="A18" s="78" t="s">
        <v>13</v>
      </c>
      <c r="B18" t="s">
        <v>11</v>
      </c>
      <c r="C18" s="40">
        <f>'Modèle de base (CM 2003)'!C18</f>
        <v>73445792</v>
      </c>
      <c r="D18" s="40">
        <f>'Modèle de base (CM 2003)'!D18</f>
        <v>241407817</v>
      </c>
      <c r="E18" s="40">
        <f>'Modèle de base (CM 2003)'!E18</f>
        <v>16058161</v>
      </c>
      <c r="F18" s="40">
        <f>'Modèle de base (CM 2003)'!F18</f>
        <v>9745495</v>
      </c>
      <c r="G18" s="40">
        <f>'Modèle de base (CM 2003)'!G18</f>
        <v>21737484</v>
      </c>
      <c r="H18" s="40">
        <f>'Modèle de base (CM 2003)'!H18</f>
        <v>10906465</v>
      </c>
      <c r="I18" s="40">
        <f>'Modèle de base (CM 2003)'!I18</f>
        <v>6625187</v>
      </c>
      <c r="J18" s="40">
        <f>'Modèle de base (CM 2003)'!J18</f>
        <v>7692895</v>
      </c>
      <c r="K18" s="40">
        <f>'Modèle de base (CM 2003)'!K18</f>
        <v>6997794</v>
      </c>
      <c r="L18" s="40">
        <f>'Modèle de base (CM 2003)'!L18</f>
        <v>4083624</v>
      </c>
      <c r="M18">
        <f>'Modèle de base (CM 2003)'!M18</f>
        <v>3708438</v>
      </c>
    </row>
    <row r="19" spans="1:13" x14ac:dyDescent="0.3">
      <c r="A19" s="78"/>
      <c r="C19" s="40">
        <f>'Modèle de base (CM 2003)'!C19</f>
        <v>0</v>
      </c>
      <c r="D19" s="40">
        <f>'Modèle de base (CM 2003)'!D19</f>
        <v>0</v>
      </c>
      <c r="E19" s="40">
        <f>'Modèle de base (CM 2003)'!E19</f>
        <v>0</v>
      </c>
      <c r="F19" s="40">
        <f>'Modèle de base (CM 2003)'!F19</f>
        <v>0</v>
      </c>
      <c r="G19" s="40">
        <f>'Modèle de base (CM 2003)'!G19</f>
        <v>0</v>
      </c>
      <c r="H19" s="40">
        <f>'Modèle de base (CM 2003)'!H19</f>
        <v>0</v>
      </c>
      <c r="I19" s="40">
        <f>'Modèle de base (CM 2003)'!I19</f>
        <v>0</v>
      </c>
      <c r="J19" s="40">
        <f>'Modèle de base (CM 2003)'!J19</f>
        <v>0</v>
      </c>
      <c r="K19" s="40">
        <f>'Modèle de base (CM 2003)'!K19</f>
        <v>0</v>
      </c>
      <c r="L19" s="40">
        <f>'Modèle de base (CM 2003)'!L19</f>
        <v>0</v>
      </c>
      <c r="M19">
        <f>'Modèle de base (CM 2003)'!M19</f>
        <v>0</v>
      </c>
    </row>
    <row r="20" spans="1:13" ht="18" x14ac:dyDescent="0.35">
      <c r="A20" s="77" t="s">
        <v>14</v>
      </c>
      <c r="B20" t="s">
        <v>11</v>
      </c>
      <c r="C20" s="40">
        <f>'Modèle de base (CM 2003)'!C20</f>
        <v>0</v>
      </c>
      <c r="D20" s="40">
        <f>'Modèle de base (CM 2003)'!D20</f>
        <v>0</v>
      </c>
      <c r="E20" s="40">
        <f>'Modèle de base (CM 2003)'!E20</f>
        <v>115668594</v>
      </c>
      <c r="F20" s="40">
        <f>'Modèle de base (CM 2003)'!F20</f>
        <v>128519703</v>
      </c>
      <c r="G20" s="40">
        <f>'Modèle de base (CM 2003)'!G20</f>
        <v>131246978</v>
      </c>
      <c r="H20" s="40">
        <f>'Modèle de base (CM 2003)'!H20</f>
        <v>152348402</v>
      </c>
      <c r="I20" s="40">
        <f>'Modèle de base (CM 2003)'!I20</f>
        <v>157632470</v>
      </c>
      <c r="J20" s="40">
        <f>'Modèle de base (CM 2003)'!J20</f>
        <v>132358509</v>
      </c>
      <c r="K20" s="40">
        <f>'Modèle de base (CM 2003)'!K20</f>
        <v>107272479</v>
      </c>
      <c r="L20" s="40">
        <f>'Modèle de base (CM 2003)'!L20</f>
        <v>96975692</v>
      </c>
      <c r="M20">
        <f>'Modèle de base (CM 2003)'!M20</f>
        <v>9542514</v>
      </c>
    </row>
    <row r="21" spans="1:13" ht="18" x14ac:dyDescent="0.35">
      <c r="A21" s="77" t="s">
        <v>15</v>
      </c>
      <c r="B21" t="s">
        <v>9</v>
      </c>
      <c r="C21" s="40">
        <f>'Modèle de base (CM 2003)'!C21</f>
        <v>0</v>
      </c>
      <c r="D21" s="40">
        <f>'Modèle de base (CM 2003)'!D21</f>
        <v>0</v>
      </c>
      <c r="E21" s="40">
        <f>'Modèle de base (CM 2003)'!E21</f>
        <v>605.03721178390595</v>
      </c>
      <c r="F21" s="40">
        <f>'Modèle de base (CM 2003)'!F21</f>
        <v>597.10507902879601</v>
      </c>
      <c r="G21" s="40">
        <f>'Modèle de base (CM 2003)'!G21</f>
        <v>691.47596242498958</v>
      </c>
      <c r="H21" s="40">
        <f>'Modèle de base (CM 2003)'!H21</f>
        <v>905.08481806029999</v>
      </c>
      <c r="I21" s="40">
        <f>'Modèle de base (CM 2003)'!I21</f>
        <v>747.17600997293471</v>
      </c>
      <c r="J21" s="40">
        <f>'Modèle de base (CM 2003)'!J21</f>
        <v>789.25765652951702</v>
      </c>
      <c r="K21" s="40">
        <f>'Modèle de base (CM 2003)'!K21</f>
        <v>784.1612804187165</v>
      </c>
      <c r="L21" s="40">
        <f>'Modèle de base (CM 2003)'!L21</f>
        <v>634.66597730336787</v>
      </c>
      <c r="M21">
        <f>'Modèle de base (CM 2003)'!M21</f>
        <v>79.94063835134456</v>
      </c>
    </row>
    <row r="22" spans="1:13" x14ac:dyDescent="0.3">
      <c r="A22" s="78"/>
      <c r="C22" s="40">
        <f>'Modèle de base (CM 2003)'!C22</f>
        <v>0</v>
      </c>
      <c r="D22" s="40">
        <f>'Modèle de base (CM 2003)'!D22</f>
        <v>0</v>
      </c>
      <c r="E22" s="40">
        <f>'Modèle de base (CM 2003)'!E22</f>
        <v>0</v>
      </c>
      <c r="F22" s="40">
        <f>'Modèle de base (CM 2003)'!F22</f>
        <v>0</v>
      </c>
      <c r="G22" s="40">
        <f>'Modèle de base (CM 2003)'!G22</f>
        <v>0</v>
      </c>
      <c r="H22" s="40">
        <f>'Modèle de base (CM 2003)'!H22</f>
        <v>0</v>
      </c>
      <c r="I22" s="40">
        <f>'Modèle de base (CM 2003)'!I22</f>
        <v>0</v>
      </c>
      <c r="J22" s="40">
        <f>'Modèle de base (CM 2003)'!J22</f>
        <v>0</v>
      </c>
      <c r="K22" s="40">
        <f>'Modèle de base (CM 2003)'!K22</f>
        <v>0</v>
      </c>
      <c r="L22" s="40">
        <f>'Modèle de base (CM 2003)'!L22</f>
        <v>0</v>
      </c>
      <c r="M22">
        <f>'Modèle de base (CM 2003)'!M22</f>
        <v>0</v>
      </c>
    </row>
    <row r="23" spans="1:13" x14ac:dyDescent="0.3">
      <c r="A23" s="78" t="s">
        <v>16</v>
      </c>
      <c r="C23" s="40">
        <f>C$18+C$20</f>
        <v>73445792</v>
      </c>
      <c r="D23" s="40">
        <f t="shared" ref="D23:M23" si="1">D$18+D$20</f>
        <v>241407817</v>
      </c>
      <c r="E23" s="40">
        <f t="shared" si="1"/>
        <v>131726755</v>
      </c>
      <c r="F23" s="40">
        <f t="shared" si="1"/>
        <v>138265198</v>
      </c>
      <c r="G23" s="40">
        <f t="shared" si="1"/>
        <v>152984462</v>
      </c>
      <c r="H23" s="40">
        <f t="shared" si="1"/>
        <v>163254867</v>
      </c>
      <c r="I23" s="40">
        <f t="shared" si="1"/>
        <v>164257657</v>
      </c>
      <c r="J23" s="40">
        <f t="shared" si="1"/>
        <v>140051404</v>
      </c>
      <c r="K23" s="40">
        <f t="shared" si="1"/>
        <v>114270273</v>
      </c>
      <c r="L23" s="40">
        <f t="shared" si="1"/>
        <v>101059316</v>
      </c>
      <c r="M23" s="40">
        <f t="shared" si="1"/>
        <v>13250952</v>
      </c>
    </row>
    <row r="24" spans="1:13" x14ac:dyDescent="0.3">
      <c r="A24" s="78"/>
      <c r="C24" s="40">
        <f>'Modèle de base (CM 2003)'!C24</f>
        <v>0</v>
      </c>
      <c r="D24" s="40">
        <f>'Modèle de base (CM 2003)'!D24</f>
        <v>0</v>
      </c>
      <c r="E24" s="40">
        <f>'Modèle de base (CM 2003)'!E24</f>
        <v>0</v>
      </c>
      <c r="F24" s="40">
        <f>'Modèle de base (CM 2003)'!F24</f>
        <v>0</v>
      </c>
      <c r="G24" s="40">
        <f>'Modèle de base (CM 2003)'!G24</f>
        <v>0</v>
      </c>
      <c r="H24" s="40">
        <f>'Modèle de base (CM 2003)'!H24</f>
        <v>0</v>
      </c>
      <c r="I24" s="40">
        <f>'Modèle de base (CM 2003)'!I24</f>
        <v>0</v>
      </c>
      <c r="J24" s="40">
        <f>'Modèle de base (CM 2003)'!J24</f>
        <v>0</v>
      </c>
      <c r="K24" s="40">
        <f>'Modèle de base (CM 2003)'!K24</f>
        <v>0</v>
      </c>
      <c r="L24" s="40">
        <f>'Modèle de base (CM 2003)'!L24</f>
        <v>0</v>
      </c>
      <c r="M24">
        <f>'Modèle de base (CM 2003)'!M24</f>
        <v>0</v>
      </c>
    </row>
    <row r="25" spans="1:13" x14ac:dyDescent="0.3">
      <c r="A25" s="78" t="s">
        <v>17</v>
      </c>
      <c r="C25" s="40">
        <f>C$9-C$23</f>
        <v>-73445792</v>
      </c>
      <c r="D25" s="40">
        <f t="shared" ref="D25:M25" si="2">D$9-D$23</f>
        <v>-241407817</v>
      </c>
      <c r="E25" s="40">
        <f t="shared" si="2"/>
        <v>116802045</v>
      </c>
      <c r="F25" s="40">
        <f t="shared" si="2"/>
        <v>141544202</v>
      </c>
      <c r="G25" s="40">
        <f t="shared" si="2"/>
        <v>93764638</v>
      </c>
      <c r="H25" s="40">
        <f t="shared" si="2"/>
        <v>55567633</v>
      </c>
      <c r="I25" s="40">
        <f t="shared" si="2"/>
        <v>110004643</v>
      </c>
      <c r="J25" s="40">
        <f t="shared" si="2"/>
        <v>77958596</v>
      </c>
      <c r="K25" s="40">
        <f t="shared" si="2"/>
        <v>63568427</v>
      </c>
      <c r="L25" s="40">
        <f t="shared" si="2"/>
        <v>97578084</v>
      </c>
      <c r="M25" s="40">
        <f t="shared" si="2"/>
        <v>141930048</v>
      </c>
    </row>
    <row r="26" spans="1:13" x14ac:dyDescent="0.3">
      <c r="A26" s="78" t="s">
        <v>18</v>
      </c>
      <c r="C26" s="48">
        <f>NPV($B$11,C25:M25)</f>
        <v>358175360.12388295</v>
      </c>
      <c r="D26" s="40">
        <f>'Modèle de base (CM 2003)'!D26</f>
        <v>0</v>
      </c>
      <c r="E26" s="40">
        <f>'Modèle de base (CM 2003)'!E26</f>
        <v>0</v>
      </c>
      <c r="F26" s="40">
        <f>'Modèle de base (CM 2003)'!F26</f>
        <v>0</v>
      </c>
      <c r="G26" s="40">
        <f>'Modèle de base (CM 2003)'!G26</f>
        <v>0</v>
      </c>
      <c r="H26" s="40">
        <f>'Modèle de base (CM 2003)'!H26</f>
        <v>0</v>
      </c>
      <c r="I26" s="40">
        <f>'Modèle de base (CM 2003)'!I26</f>
        <v>0</v>
      </c>
      <c r="J26" s="40">
        <f>'Modèle de base (CM 2003)'!J26</f>
        <v>0</v>
      </c>
      <c r="K26" s="40">
        <f>'Modèle de base (CM 2003)'!K26</f>
        <v>0</v>
      </c>
      <c r="L26" s="40">
        <f>'Modèle de base (CM 2003)'!L26</f>
        <v>0</v>
      </c>
      <c r="M26">
        <f>'Modèle de base (CM 2003)'!M26</f>
        <v>0</v>
      </c>
    </row>
    <row r="27" spans="1:13" x14ac:dyDescent="0.3">
      <c r="A27" s="78" t="s">
        <v>19</v>
      </c>
      <c r="C27" s="46">
        <f>IRR(C25:M25)</f>
        <v>0.27738178816017744</v>
      </c>
      <c r="D27" s="40">
        <f>'Modèle de base (CM 2003)'!D27</f>
        <v>0</v>
      </c>
      <c r="E27" s="40">
        <f>'Modèle de base (CM 2003)'!E27</f>
        <v>-0.39130880088172382</v>
      </c>
      <c r="F27" s="40">
        <f>'Modèle de base (CM 2003)'!F27</f>
        <v>0.11243079110208098</v>
      </c>
      <c r="G27" s="40">
        <f>'Modèle de base (CM 2003)'!G27</f>
        <v>0.27689970400013508</v>
      </c>
      <c r="H27" s="40">
        <f>'Modèle de base (CM 2003)'!H27</f>
        <v>0.34079760300658513</v>
      </c>
      <c r="I27" s="40">
        <f>'Modèle de base (CM 2003)'!I27</f>
        <v>0.40012658741461915</v>
      </c>
      <c r="J27" s="40">
        <f>'Modèle de base (CM 2003)'!J27</f>
        <v>0.42540793881104033</v>
      </c>
      <c r="K27" s="40">
        <f>'Modèle de base (CM 2003)'!K27</f>
        <v>0.43824982681485536</v>
      </c>
      <c r="L27" s="40">
        <f>'Modèle de base (CM 2003)'!L27</f>
        <v>0.44942431685371487</v>
      </c>
      <c r="M27">
        <f>'Modèle de base (CM 2003)'!M27</f>
        <v>0.45818507382926854</v>
      </c>
    </row>
    <row r="28" spans="1:13" x14ac:dyDescent="0.3">
      <c r="A28" s="78"/>
      <c r="C28" s="40">
        <f>'Modèle de base (CM 2003)'!C28</f>
        <v>0</v>
      </c>
      <c r="D28" s="40">
        <f>'Modèle de base (CM 2003)'!D28</f>
        <v>0</v>
      </c>
      <c r="E28" s="40">
        <f>'Modèle de base (CM 2003)'!E28</f>
        <v>0</v>
      </c>
      <c r="F28" s="40">
        <f>'Modèle de base (CM 2003)'!F28</f>
        <v>0</v>
      </c>
      <c r="G28" s="40">
        <f>'Modèle de base (CM 2003)'!G28</f>
        <v>0</v>
      </c>
      <c r="H28" s="40">
        <f>'Modèle de base (CM 2003)'!H28</f>
        <v>0</v>
      </c>
      <c r="I28" s="40">
        <f>'Modèle de base (CM 2003)'!I28</f>
        <v>0</v>
      </c>
      <c r="J28" s="40">
        <f>'Modèle de base (CM 2003)'!J28</f>
        <v>0</v>
      </c>
      <c r="K28" s="40">
        <f>'Modèle de base (CM 2003)'!K28</f>
        <v>0</v>
      </c>
      <c r="L28" s="40">
        <f>'Modèle de base (CM 2003)'!L28</f>
        <v>0</v>
      </c>
      <c r="M28">
        <f>'Modèle de base (CM 2003)'!M28</f>
        <v>0</v>
      </c>
    </row>
    <row r="29" spans="1:13" x14ac:dyDescent="0.3">
      <c r="A29" s="78" t="s">
        <v>29</v>
      </c>
      <c r="C29" s="40">
        <f>B10*'Données fiscales'!C110</f>
        <v>9735</v>
      </c>
      <c r="D29" s="40">
        <f>'Modèle de base (CM 2003)'!D29</f>
        <v>0</v>
      </c>
      <c r="E29" s="40">
        <f>'Modèle de base (CM 2003)'!E29</f>
        <v>0</v>
      </c>
      <c r="F29" s="40">
        <f>'Modèle de base (CM 2003)'!F29</f>
        <v>0</v>
      </c>
      <c r="G29" s="40">
        <f>'Modèle de base (CM 2003)'!G29</f>
        <v>0</v>
      </c>
      <c r="H29" s="40">
        <f>'Modèle de base (CM 2003)'!H29</f>
        <v>0</v>
      </c>
      <c r="I29" s="40">
        <f>'Modèle de base (CM 2003)'!I29</f>
        <v>0</v>
      </c>
      <c r="J29" s="40">
        <f>'Modèle de base (CM 2003)'!J29</f>
        <v>0</v>
      </c>
      <c r="K29" s="40">
        <f>'Modèle de base (CM 2003)'!K29</f>
        <v>0</v>
      </c>
      <c r="L29" s="40">
        <f>'Modèle de base (CM 2003)'!L29</f>
        <v>0</v>
      </c>
      <c r="M29">
        <f>'Modèle de base (CM 2003)'!M29</f>
        <v>0</v>
      </c>
    </row>
    <row r="30" spans="1:13" x14ac:dyDescent="0.3">
      <c r="A30" s="78"/>
      <c r="C30" s="40">
        <f>'Modèle de base (CM 2003)'!C30</f>
        <v>0</v>
      </c>
      <c r="D30" s="40">
        <f>'Modèle de base (CM 2003)'!D30</f>
        <v>0</v>
      </c>
      <c r="E30" s="40">
        <f>'Modèle de base (CM 2003)'!E30</f>
        <v>0</v>
      </c>
      <c r="F30" s="40">
        <f>'Modèle de base (CM 2003)'!F30</f>
        <v>0</v>
      </c>
      <c r="G30" s="40">
        <f>'Modèle de base (CM 2003)'!G30</f>
        <v>0</v>
      </c>
      <c r="H30" s="40">
        <f>'Modèle de base (CM 2003)'!H30</f>
        <v>0</v>
      </c>
      <c r="I30" s="40">
        <f>'Modèle de base (CM 2003)'!I30</f>
        <v>0</v>
      </c>
      <c r="J30" s="40">
        <f>'Modèle de base (CM 2003)'!J30</f>
        <v>0</v>
      </c>
      <c r="K30" s="40">
        <f>'Modèle de base (CM 2003)'!K30</f>
        <v>0</v>
      </c>
      <c r="L30" s="40">
        <f>'Modèle de base (CM 2003)'!L30</f>
        <v>0</v>
      </c>
      <c r="M30">
        <f>'Modèle de base (CM 2003)'!M30</f>
        <v>0</v>
      </c>
    </row>
    <row r="31" spans="1:13" x14ac:dyDescent="0.3">
      <c r="A31" s="78"/>
      <c r="C31" s="40">
        <f>'Modèle de base (CM 2003)'!C31</f>
        <v>0</v>
      </c>
      <c r="D31" s="40">
        <f>'Modèle de base (CM 2003)'!D31</f>
        <v>0</v>
      </c>
      <c r="E31" s="40">
        <f>'Modèle de base (CM 2003)'!E31</f>
        <v>0</v>
      </c>
      <c r="F31" s="40">
        <f>'Modèle de base (CM 2003)'!F31</f>
        <v>0</v>
      </c>
      <c r="G31" s="40">
        <f>'Modèle de base (CM 2003)'!G31</f>
        <v>0</v>
      </c>
      <c r="H31" s="40">
        <f>'Modèle de base (CM 2003)'!H31</f>
        <v>0</v>
      </c>
      <c r="I31" s="40">
        <f>'Modèle de base (CM 2003)'!I31</f>
        <v>0</v>
      </c>
      <c r="J31" s="40">
        <f>'Modèle de base (CM 2003)'!J31</f>
        <v>0</v>
      </c>
      <c r="K31" s="40">
        <f>'Modèle de base (CM 2003)'!K31</f>
        <v>0</v>
      </c>
      <c r="L31" s="40">
        <f>'Modèle de base (CM 2003)'!L31</f>
        <v>0</v>
      </c>
      <c r="M31">
        <f>'Modèle de base (CM 2003)'!M31</f>
        <v>0</v>
      </c>
    </row>
    <row r="32" spans="1:13" x14ac:dyDescent="0.3">
      <c r="A32" s="78" t="s">
        <v>30</v>
      </c>
      <c r="C32" s="40">
        <f>'Modèle de base (CM 2003)'!C32</f>
        <v>23.2</v>
      </c>
      <c r="D32" s="40">
        <f>'Modèle de base (CM 2003)'!D32</f>
        <v>23.2</v>
      </c>
      <c r="E32" s="40">
        <f>'Modèle de base (CM 2003)'!E32</f>
        <v>23.2</v>
      </c>
      <c r="F32" s="40">
        <f>'Modèle de base (CM 2003)'!F32</f>
        <v>23.2</v>
      </c>
      <c r="G32" s="40">
        <f>'Modèle de base (CM 2003)'!G32</f>
        <v>23.2</v>
      </c>
      <c r="H32" s="40">
        <f>'Modèle de base (CM 2003)'!H32</f>
        <v>23.2</v>
      </c>
      <c r="I32" s="40">
        <f>'Modèle de base (CM 2003)'!I32</f>
        <v>23.2</v>
      </c>
      <c r="J32" s="40">
        <f>'Modèle de base (CM 2003)'!J32</f>
        <v>23.2</v>
      </c>
      <c r="K32" s="40">
        <f>'Modèle de base (CM 2003)'!K32</f>
        <v>23.2</v>
      </c>
      <c r="L32" s="40">
        <f>'Modèle de base (CM 2003)'!L32</f>
        <v>23.2</v>
      </c>
      <c r="M32">
        <f>'Modèle de base (CM 2003)'!M32</f>
        <v>23.2</v>
      </c>
    </row>
    <row r="33" spans="1:14" x14ac:dyDescent="0.3">
      <c r="A33" s="78" t="s">
        <v>20</v>
      </c>
      <c r="C33" s="40">
        <f>$B$10*C32*'Données fiscales'!C90</f>
        <v>25665.000000000004</v>
      </c>
      <c r="D33" s="40">
        <f>$B$10*D32*'Données fiscales'!D90</f>
        <v>307980</v>
      </c>
      <c r="E33" s="40">
        <f>$B$10*E32*'Données fiscales'!E90</f>
        <v>307980</v>
      </c>
      <c r="F33" s="40">
        <f>$B$10*F32*'Données fiscales'!F90</f>
        <v>307980</v>
      </c>
      <c r="G33" s="40">
        <f>$B$10*G32*'Données fiscales'!G90</f>
        <v>307980</v>
      </c>
      <c r="H33" s="40">
        <f>$B$10*H32*'Données fiscales'!H90</f>
        <v>410640.00000000006</v>
      </c>
      <c r="I33" s="40">
        <f>$B$10*I32*'Données fiscales'!I90</f>
        <v>410640.00000000006</v>
      </c>
      <c r="J33" s="40">
        <f>$B$10*J32*'Données fiscales'!J90</f>
        <v>410640.00000000006</v>
      </c>
      <c r="K33" s="40">
        <f>$B$10*K32*'Données fiscales'!K90</f>
        <v>410640.00000000006</v>
      </c>
      <c r="L33" s="40">
        <f>$B$10*L32*'Données fiscales'!L90</f>
        <v>410640.00000000006</v>
      </c>
      <c r="M33" s="40">
        <f>$B$10*M32*'Données fiscales'!M90</f>
        <v>615960</v>
      </c>
    </row>
    <row r="34" spans="1:14" x14ac:dyDescent="0.3">
      <c r="A34" s="78"/>
      <c r="C34" s="40">
        <f>'Modèle de base (CM 2003)'!C34</f>
        <v>0</v>
      </c>
      <c r="D34" s="40">
        <f>'Modèle de base (CM 2003)'!D34</f>
        <v>0</v>
      </c>
      <c r="E34" s="40">
        <f>'Modèle de base (CM 2003)'!E34</f>
        <v>0</v>
      </c>
      <c r="F34" s="40">
        <f>'Modèle de base (CM 2003)'!F34</f>
        <v>0</v>
      </c>
      <c r="G34" s="40">
        <f>'Modèle de base (CM 2003)'!G34</f>
        <v>0</v>
      </c>
      <c r="H34" s="40">
        <f>'Modèle de base (CM 2003)'!H34</f>
        <v>0</v>
      </c>
      <c r="I34" s="40">
        <f>'Modèle de base (CM 2003)'!I34</f>
        <v>0</v>
      </c>
      <c r="J34" s="40">
        <f>'Modèle de base (CM 2003)'!J34</f>
        <v>0</v>
      </c>
      <c r="K34" s="40">
        <f>'Modèle de base (CM 2003)'!K34</f>
        <v>0</v>
      </c>
      <c r="L34" s="40">
        <f>'Modèle de base (CM 2003)'!L34</f>
        <v>0</v>
      </c>
      <c r="M34">
        <f>'Modèle de base (CM 2003)'!M34</f>
        <v>0</v>
      </c>
    </row>
    <row r="35" spans="1:14" x14ac:dyDescent="0.3">
      <c r="A35" s="78" t="s">
        <v>32</v>
      </c>
      <c r="C35" s="40">
        <f>'Modèle de base (CM 2003)'!C35</f>
        <v>0</v>
      </c>
      <c r="D35" s="40">
        <f>'Modèle de base (CM 2003)'!D35</f>
        <v>0</v>
      </c>
      <c r="E35" s="40">
        <f>'Modèle de base (CM 2003)'!E35</f>
        <v>0</v>
      </c>
      <c r="F35" s="40">
        <f>'Modèle de base (CM 2003)'!F35</f>
        <v>0</v>
      </c>
      <c r="G35" s="40">
        <f>'Modèle de base (CM 2003)'!G35</f>
        <v>0</v>
      </c>
      <c r="H35" s="40">
        <f>'Modèle de base (CM 2003)'!H35</f>
        <v>0</v>
      </c>
      <c r="I35" s="40">
        <f>'Modèle de base (CM 2003)'!I35</f>
        <v>0</v>
      </c>
      <c r="J35" s="40">
        <f>'Modèle de base (CM 2003)'!J35</f>
        <v>0</v>
      </c>
      <c r="K35" s="40">
        <f>'Modèle de base (CM 2003)'!K35</f>
        <v>0</v>
      </c>
      <c r="L35" s="40">
        <f>'Modèle de base (CM 2003)'!L35</f>
        <v>0</v>
      </c>
      <c r="M35">
        <f>'Modèle de base (CM 2003)'!M35</f>
        <v>0</v>
      </c>
    </row>
    <row r="36" spans="1:14" x14ac:dyDescent="0.3">
      <c r="A36" s="78" t="s">
        <v>33</v>
      </c>
      <c r="B36" s="19">
        <f>Q8</f>
        <v>0.04</v>
      </c>
      <c r="C36" s="40">
        <f>'Modèle de base (CM 2003)'!C36</f>
        <v>0</v>
      </c>
      <c r="D36" s="40">
        <f>'Modèle de base (CM 2003)'!D36</f>
        <v>0</v>
      </c>
      <c r="E36" s="40">
        <f>'Modèle de base (CM 2003)'!E36</f>
        <v>0.04</v>
      </c>
      <c r="F36" s="40">
        <f>'Modèle de base (CM 2003)'!F36</f>
        <v>0.04</v>
      </c>
      <c r="G36" s="40">
        <f>'Modèle de base (CM 2003)'!G36</f>
        <v>0.04</v>
      </c>
      <c r="H36" s="40">
        <f>'Modèle de base (CM 2003)'!H36</f>
        <v>0.04</v>
      </c>
      <c r="I36" s="40">
        <f>'Modèle de base (CM 2003)'!I36</f>
        <v>0.04</v>
      </c>
      <c r="J36" s="40">
        <f>'Modèle de base (CM 2003)'!J36</f>
        <v>0.04</v>
      </c>
      <c r="K36" s="40">
        <f>'Modèle de base (CM 2003)'!K36</f>
        <v>0.04</v>
      </c>
      <c r="L36" s="40">
        <f>'Modèle de base (CM 2003)'!L36</f>
        <v>0.04</v>
      </c>
      <c r="M36">
        <f>'Modèle de base (CM 2003)'!M36</f>
        <v>0.04</v>
      </c>
    </row>
    <row r="37" spans="1:14" x14ac:dyDescent="0.3">
      <c r="A37" s="78" t="s">
        <v>31</v>
      </c>
      <c r="C37" s="40">
        <f>$B$36*C9</f>
        <v>0</v>
      </c>
      <c r="D37" s="40">
        <f t="shared" ref="D37:M37" si="3">$B$36*D9</f>
        <v>0</v>
      </c>
      <c r="E37" s="40">
        <f t="shared" si="3"/>
        <v>9941152</v>
      </c>
      <c r="F37" s="40">
        <f t="shared" si="3"/>
        <v>11192376</v>
      </c>
      <c r="G37" s="40">
        <f t="shared" si="3"/>
        <v>9869964</v>
      </c>
      <c r="H37" s="40">
        <f t="shared" si="3"/>
        <v>8752900</v>
      </c>
      <c r="I37" s="40">
        <f t="shared" si="3"/>
        <v>10970492</v>
      </c>
      <c r="J37" s="40">
        <f t="shared" si="3"/>
        <v>8720400</v>
      </c>
      <c r="K37" s="40">
        <f t="shared" si="3"/>
        <v>7113548</v>
      </c>
      <c r="L37" s="40">
        <f t="shared" si="3"/>
        <v>7945496</v>
      </c>
      <c r="M37" s="40">
        <f t="shared" si="3"/>
        <v>6207240</v>
      </c>
    </row>
    <row r="38" spans="1:14" x14ac:dyDescent="0.3">
      <c r="A38" s="78"/>
      <c r="C38" s="40">
        <f>'Modèle de base (CM 2003)'!C38</f>
        <v>0</v>
      </c>
      <c r="D38" s="40">
        <f>'Modèle de base (CM 2003)'!D38</f>
        <v>0</v>
      </c>
      <c r="E38" s="40">
        <f>'Modèle de base (CM 2003)'!E38</f>
        <v>0</v>
      </c>
      <c r="F38" s="40">
        <f>'Modèle de base (CM 2003)'!F38</f>
        <v>0</v>
      </c>
      <c r="G38" s="40">
        <f>'Modèle de base (CM 2003)'!G38</f>
        <v>0</v>
      </c>
      <c r="H38" s="40">
        <f>'Modèle de base (CM 2003)'!H38</f>
        <v>0</v>
      </c>
      <c r="I38" s="40">
        <f>'Modèle de base (CM 2003)'!I38</f>
        <v>0</v>
      </c>
      <c r="J38" s="40">
        <f>'Modèle de base (CM 2003)'!J38</f>
        <v>0</v>
      </c>
      <c r="K38" s="40">
        <f>'Modèle de base (CM 2003)'!K38</f>
        <v>0</v>
      </c>
      <c r="L38" s="40">
        <f>'Modèle de base (CM 2003)'!L38</f>
        <v>0</v>
      </c>
      <c r="M38">
        <f>'Modèle de base (CM 2003)'!M38</f>
        <v>0</v>
      </c>
    </row>
    <row r="39" spans="1:14" x14ac:dyDescent="0.3">
      <c r="A39" s="78" t="s">
        <v>34</v>
      </c>
      <c r="C39" s="40">
        <f>'Modèle de base (CM 2003)'!C39</f>
        <v>14450237.300000001</v>
      </c>
      <c r="D39" s="40">
        <f>'Modèle de base (CM 2003)'!D39</f>
        <v>72391494.580000013</v>
      </c>
      <c r="E39" s="40">
        <f>'Modèle de base (CM 2003)'!E39</f>
        <v>54722765.508000001</v>
      </c>
      <c r="F39" s="40">
        <f>'Modèle de base (CM 2003)'!F39</f>
        <v>41469139.447999999</v>
      </c>
      <c r="G39" s="40">
        <f>'Modèle de base (CM 2003)'!G39</f>
        <v>42554950.707999997</v>
      </c>
      <c r="H39" s="40">
        <f>'Modèle de base (CM 2003)'!H39</f>
        <v>38090104.267999992</v>
      </c>
      <c r="I39" s="40">
        <f>'Modèle de base (CM 2003)'!I39</f>
        <v>22807098.419999998</v>
      </c>
      <c r="J39" s="40">
        <f>'Modèle de base (CM 2003)'!J39</f>
        <v>20561889.611999996</v>
      </c>
      <c r="K39" s="40">
        <f>'Modèle de base (CM 2003)'!K39</f>
        <v>21590650.807999998</v>
      </c>
      <c r="L39" s="40">
        <f>'Modèle de base (CM 2003)'!L39</f>
        <v>20344454.923999999</v>
      </c>
      <c r="M39">
        <f>'Modèle de base (CM 2003)'!M39</f>
        <v>15427244.423999999</v>
      </c>
    </row>
    <row r="40" spans="1:14" x14ac:dyDescent="0.3">
      <c r="A40" s="82" t="str">
        <f>'Code Minier 2015'!A40</f>
        <v>Developpement local</v>
      </c>
      <c r="B40" s="40">
        <f>'Code Minier 2015'!B40</f>
        <v>0</v>
      </c>
      <c r="C40" s="40">
        <f>'Code Minier 2015'!C40</f>
        <v>0</v>
      </c>
      <c r="D40" s="40">
        <f>'Code Minier 2015'!D40</f>
        <v>0</v>
      </c>
      <c r="E40" s="40">
        <f>'Code Minier 2015'!E40</f>
        <v>2485288</v>
      </c>
      <c r="F40" s="40">
        <f>'Code Minier 2015'!F40</f>
        <v>2798094</v>
      </c>
      <c r="G40" s="40">
        <f>'Code Minier 2015'!G40</f>
        <v>2467491</v>
      </c>
      <c r="H40" s="40">
        <f>'Code Minier 2015'!H40</f>
        <v>2188225</v>
      </c>
      <c r="I40" s="40">
        <f>'Code Minier 2015'!I40</f>
        <v>2742623</v>
      </c>
      <c r="J40" s="40">
        <f>'Code Minier 2015'!J40</f>
        <v>2180100</v>
      </c>
      <c r="K40" s="40">
        <f>'Code Minier 2015'!K40</f>
        <v>1778387</v>
      </c>
      <c r="L40" s="40">
        <f>'Code Minier 2015'!L40</f>
        <v>1986374</v>
      </c>
      <c r="M40" s="40">
        <f>'Code Minier 2015'!M40</f>
        <v>1551810</v>
      </c>
    </row>
    <row r="41" spans="1:14" x14ac:dyDescent="0.3">
      <c r="A41" s="82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</row>
    <row r="42" spans="1:14" x14ac:dyDescent="0.3">
      <c r="A42" s="78" t="s">
        <v>21</v>
      </c>
      <c r="C42" s="40">
        <f>C9-(C$23+C$29+C$33+C$37+C$39+C$40)</f>
        <v>-87931429.299999997</v>
      </c>
      <c r="D42" s="40">
        <f t="shared" ref="D42:M42" si="4">D9-(D$23+D$29+D$33+D$37+D$39)</f>
        <v>-314107291.58000004</v>
      </c>
      <c r="E42" s="40">
        <f t="shared" si="4"/>
        <v>51830147.491999984</v>
      </c>
      <c r="F42" s="40">
        <f t="shared" si="4"/>
        <v>88574706.551999986</v>
      </c>
      <c r="G42" s="40">
        <f t="shared" si="4"/>
        <v>41031743.291999996</v>
      </c>
      <c r="H42" s="40">
        <f t="shared" si="4"/>
        <v>8313988.7319999933</v>
      </c>
      <c r="I42" s="40">
        <f t="shared" si="4"/>
        <v>75816412.580000013</v>
      </c>
      <c r="J42" s="40">
        <f t="shared" si="4"/>
        <v>48265666.388000011</v>
      </c>
      <c r="K42" s="40">
        <f t="shared" si="4"/>
        <v>34453588.192000002</v>
      </c>
      <c r="L42" s="40">
        <f t="shared" si="4"/>
        <v>68877493.076000005</v>
      </c>
      <c r="M42" s="40">
        <f t="shared" si="4"/>
        <v>119679603.57600001</v>
      </c>
    </row>
    <row r="43" spans="1:14" x14ac:dyDescent="0.3">
      <c r="A43" s="78" t="s">
        <v>22</v>
      </c>
      <c r="B43" s="36">
        <f>Q7</f>
        <v>0.27500000000000002</v>
      </c>
      <c r="C43" s="40">
        <f>'Modèle de base (CM 2003)'!C42</f>
        <v>0</v>
      </c>
      <c r="D43" s="40">
        <f>'Modèle de base (CM 2003)'!D42</f>
        <v>0</v>
      </c>
      <c r="E43" s="40" t="s">
        <v>126</v>
      </c>
      <c r="F43" s="40" t="s">
        <v>126</v>
      </c>
      <c r="G43" s="40" t="s">
        <v>126</v>
      </c>
      <c r="H43" s="40" t="s">
        <v>126</v>
      </c>
      <c r="I43" s="40" t="s">
        <v>126</v>
      </c>
      <c r="J43" s="40" t="s">
        <v>126</v>
      </c>
      <c r="K43" s="40" t="s">
        <v>126</v>
      </c>
      <c r="L43" s="40" t="s">
        <v>126</v>
      </c>
      <c r="M43" s="40" t="s">
        <v>126</v>
      </c>
    </row>
    <row r="44" spans="1:14" x14ac:dyDescent="0.3">
      <c r="A44" s="78" t="s">
        <v>23</v>
      </c>
      <c r="C44" s="40">
        <f>'Modèle de base (CM 2003)'!C43</f>
        <v>0</v>
      </c>
      <c r="D44" s="40">
        <f>'Modèle de base (CM 2003)'!D43</f>
        <v>0</v>
      </c>
      <c r="E44" s="40">
        <f>'Modèle de base (CM 2003)'!E43</f>
        <v>0</v>
      </c>
      <c r="F44" s="40">
        <f>'Modèle de base (CM 2003)'!F43</f>
        <v>0</v>
      </c>
      <c r="G44" s="40">
        <f>'Modèle de base (CM 2003)'!G43</f>
        <v>0</v>
      </c>
      <c r="H44" s="40">
        <f>'Modèle de base (CM 2003)'!H43</f>
        <v>0</v>
      </c>
      <c r="I44" s="40">
        <f>'Modèle de base (CM 2003)'!I43</f>
        <v>0</v>
      </c>
      <c r="J44" s="40">
        <f>'Modèle de base (CM 2003)'!J43</f>
        <v>1341600</v>
      </c>
      <c r="K44" s="40">
        <f>'Modèle de base (CM 2003)'!K43</f>
        <v>1094392</v>
      </c>
      <c r="L44" s="40">
        <f>'Modèle de base (CM 2003)'!L43</f>
        <v>1222384</v>
      </c>
      <c r="M44">
        <f>'Modèle de base (CM 2003)'!M43</f>
        <v>954960</v>
      </c>
    </row>
    <row r="45" spans="1:14" x14ac:dyDescent="0.3">
      <c r="A45" s="78" t="s">
        <v>24</v>
      </c>
      <c r="C45" s="40">
        <f>IF(C$42*$B$43&gt;0,C$42*$B$43,C$44)</f>
        <v>0</v>
      </c>
      <c r="D45" s="40">
        <f t="shared" ref="D45:M45" si="5">IF(D$42*$B$43&gt;0,D$42*$B$43,D$44)</f>
        <v>0</v>
      </c>
      <c r="E45" s="40">
        <f t="shared" si="5"/>
        <v>14253290.560299996</v>
      </c>
      <c r="F45" s="40">
        <f t="shared" si="5"/>
        <v>24358044.301799998</v>
      </c>
      <c r="G45" s="40">
        <f t="shared" si="5"/>
        <v>11283729.405299999</v>
      </c>
      <c r="H45" s="40">
        <f t="shared" si="5"/>
        <v>2286346.9012999982</v>
      </c>
      <c r="I45" s="40">
        <f t="shared" si="5"/>
        <v>20849513.459500004</v>
      </c>
      <c r="J45" s="40">
        <f t="shared" si="5"/>
        <v>13273058.256700004</v>
      </c>
      <c r="K45" s="40">
        <f t="shared" si="5"/>
        <v>9474736.7528000008</v>
      </c>
      <c r="L45" s="40">
        <f t="shared" si="5"/>
        <v>18941310.595900003</v>
      </c>
      <c r="M45" s="40">
        <f t="shared" si="5"/>
        <v>32911890.983400006</v>
      </c>
    </row>
    <row r="46" spans="1:14" x14ac:dyDescent="0.3">
      <c r="A46" s="78"/>
      <c r="C46" s="40">
        <f>'Modèle de base (CM 2003)'!C45</f>
        <v>0</v>
      </c>
      <c r="D46" s="40">
        <f>'Modèle de base (CM 2003)'!D45</f>
        <v>0</v>
      </c>
      <c r="E46" s="40">
        <f>'Modèle de base (CM 2003)'!E45</f>
        <v>0</v>
      </c>
      <c r="F46" s="40">
        <f>'Modèle de base (CM 2003)'!F45</f>
        <v>0</v>
      </c>
      <c r="G46" s="40">
        <f>'Modèle de base (CM 2003)'!G45</f>
        <v>0</v>
      </c>
      <c r="H46" s="40">
        <f>'Modèle de base (CM 2003)'!H45</f>
        <v>0</v>
      </c>
      <c r="I46" s="40">
        <f>'Modèle de base (CM 2003)'!I45</f>
        <v>0</v>
      </c>
      <c r="J46" s="40">
        <f>'Modèle de base (CM 2003)'!J45</f>
        <v>0</v>
      </c>
      <c r="K46" s="40">
        <f>'Modèle de base (CM 2003)'!K45</f>
        <v>0</v>
      </c>
      <c r="L46" s="40">
        <f>'Modèle de base (CM 2003)'!L45</f>
        <v>0</v>
      </c>
      <c r="M46">
        <f>'Modèle de base (CM 2003)'!M45</f>
        <v>0</v>
      </c>
    </row>
    <row r="47" spans="1:14" x14ac:dyDescent="0.3">
      <c r="A47" s="78" t="s">
        <v>37</v>
      </c>
      <c r="C47" s="40">
        <f>C$42-C$45</f>
        <v>-87931429.299999997</v>
      </c>
      <c r="D47" s="40">
        <f t="shared" ref="D47:M47" si="6">D$42-D$45</f>
        <v>-314107291.58000004</v>
      </c>
      <c r="E47" s="40">
        <f t="shared" si="6"/>
        <v>37576856.931699991</v>
      </c>
      <c r="F47" s="40">
        <f t="shared" si="6"/>
        <v>64216662.250199988</v>
      </c>
      <c r="G47" s="40">
        <f t="shared" si="6"/>
        <v>29748013.886699997</v>
      </c>
      <c r="H47" s="40">
        <f t="shared" si="6"/>
        <v>6027641.8306999952</v>
      </c>
      <c r="I47" s="40">
        <f t="shared" si="6"/>
        <v>54966899.120500013</v>
      </c>
      <c r="J47" s="40">
        <f t="shared" si="6"/>
        <v>34992608.13130001</v>
      </c>
      <c r="K47" s="40">
        <f t="shared" si="6"/>
        <v>24978851.439199999</v>
      </c>
      <c r="L47" s="40">
        <f t="shared" si="6"/>
        <v>49936182.480100006</v>
      </c>
      <c r="M47" s="40">
        <f t="shared" si="6"/>
        <v>86767712.592600003</v>
      </c>
      <c r="N47" s="40">
        <f t="shared" ref="N47" si="7">N42-N45</f>
        <v>0</v>
      </c>
    </row>
    <row r="48" spans="1:14" x14ac:dyDescent="0.3">
      <c r="A48" s="80" t="s">
        <v>38</v>
      </c>
      <c r="B48" s="19">
        <v>0.1</v>
      </c>
      <c r="C48" s="40">
        <f>'Modèle de base (CM 2003)'!C47</f>
        <v>0</v>
      </c>
      <c r="D48" s="40">
        <f>'Modèle de base (CM 2003)'!D47</f>
        <v>0</v>
      </c>
      <c r="E48" s="40">
        <f>'Modèle de base (CM 2003)'!E47</f>
        <v>0</v>
      </c>
      <c r="F48" s="40">
        <f>'Modèle de base (CM 2003)'!F47</f>
        <v>0</v>
      </c>
      <c r="G48" s="40">
        <f>'Modèle de base (CM 2003)'!G47</f>
        <v>0</v>
      </c>
      <c r="H48" s="40">
        <f>'Modèle de base (CM 2003)'!H47</f>
        <v>0</v>
      </c>
      <c r="I48" s="40">
        <f>'Modèle de base (CM 2003)'!I47</f>
        <v>0</v>
      </c>
      <c r="J48" s="40">
        <f>'Modèle de base (CM 2003)'!J47</f>
        <v>0</v>
      </c>
      <c r="K48" s="40">
        <f>'Modèle de base (CM 2003)'!K47</f>
        <v>0</v>
      </c>
      <c r="L48" s="40">
        <f>'Modèle de base (CM 2003)'!L47</f>
        <v>0</v>
      </c>
      <c r="M48">
        <f>'Modèle de base (CM 2003)'!M47</f>
        <v>0</v>
      </c>
    </row>
    <row r="49" spans="1:13" x14ac:dyDescent="0.3">
      <c r="A49" s="80" t="s">
        <v>39</v>
      </c>
      <c r="C49" s="40">
        <f>IF(C47&gt;0,C47*$B$48,0)</f>
        <v>0</v>
      </c>
      <c r="D49" s="40">
        <f t="shared" ref="D49:M49" si="8">IF(D47&gt;0,D47*$B$48,0)</f>
        <v>0</v>
      </c>
      <c r="E49" s="40">
        <f t="shared" si="8"/>
        <v>3757685.6931699994</v>
      </c>
      <c r="F49" s="40">
        <f t="shared" si="8"/>
        <v>6421666.2250199988</v>
      </c>
      <c r="G49" s="40">
        <f t="shared" si="8"/>
        <v>2974801.3886699998</v>
      </c>
      <c r="H49" s="40">
        <f t="shared" si="8"/>
        <v>602764.18306999956</v>
      </c>
      <c r="I49" s="40">
        <f t="shared" si="8"/>
        <v>5496689.9120500013</v>
      </c>
      <c r="J49" s="40">
        <f t="shared" si="8"/>
        <v>3499260.8131300011</v>
      </c>
      <c r="K49" s="40">
        <f t="shared" si="8"/>
        <v>2497885.1439200002</v>
      </c>
      <c r="L49" s="40">
        <f t="shared" si="8"/>
        <v>4993618.2480100011</v>
      </c>
      <c r="M49" s="40">
        <f t="shared" si="8"/>
        <v>8676771.2592600007</v>
      </c>
    </row>
    <row r="50" spans="1:13" x14ac:dyDescent="0.3">
      <c r="A50" s="80" t="s">
        <v>40</v>
      </c>
      <c r="C50" s="40">
        <f>C$47-C$49</f>
        <v>-87931429.299999997</v>
      </c>
      <c r="D50" s="40">
        <f>'Modèle de base (CM 2003)'!D49</f>
        <v>-314152248.35370964</v>
      </c>
      <c r="E50" s="40">
        <f>'Modèle de base (CM 2003)'!E49</f>
        <v>62503669.050199881</v>
      </c>
      <c r="F50" s="40">
        <f>'Modèle de base (CM 2003)'!F49</f>
        <v>88053201.86029987</v>
      </c>
      <c r="G50" s="40">
        <f>'Modèle de base (CM 2003)'!G49</f>
        <v>55955953.473199867</v>
      </c>
      <c r="H50" s="40">
        <f>'Modèle de base (CM 2003)'!H49</f>
        <v>33188013.124726515</v>
      </c>
      <c r="I50" s="40">
        <f>'Modèle de base (CM 2003)'!I49</f>
        <v>79861929.155806512</v>
      </c>
      <c r="J50" s="40">
        <f>'Modèle de base (CM 2003)'!J49</f>
        <v>56454444.553486504</v>
      </c>
      <c r="K50" s="40">
        <f>'Modèle de base (CM 2003)'!K49</f>
        <v>43168178.328826502</v>
      </c>
      <c r="L50" s="40">
        <f>'Modèle de base (CM 2003)'!L49</f>
        <v>66001674.205966502</v>
      </c>
      <c r="M50">
        <f>'Modèle de base (CM 2003)'!M49</f>
        <v>90071426.266719759</v>
      </c>
    </row>
    <row r="51" spans="1:13" x14ac:dyDescent="0.3">
      <c r="A51" s="80" t="s">
        <v>41</v>
      </c>
      <c r="B51" s="19"/>
      <c r="C51" s="40">
        <f>IF(C$50&gt;0,C$50*'Données fiscales'!C105,0)</f>
        <v>0</v>
      </c>
      <c r="D51" s="40">
        <f>IF(D$50&gt;0,D$50*'Données fiscales'!D105,0)</f>
        <v>0</v>
      </c>
      <c r="E51" s="40">
        <f>IF(E$50&gt;0,E$50*'Données fiscales'!E105,0)</f>
        <v>7812958.6312749851</v>
      </c>
      <c r="F51" s="40">
        <f>IF(F$50&gt;0,F$50*'Données fiscales'!F105,0)</f>
        <v>11006650.232537484</v>
      </c>
      <c r="G51" s="40">
        <f>IF(G$50&gt;0,G$50*'Données fiscales'!G105,0)</f>
        <v>6994494.1841499833</v>
      </c>
      <c r="H51" s="40">
        <f>IF(H$50&gt;0,H$50*'Données fiscales'!H105,0)</f>
        <v>4148501.6405908144</v>
      </c>
      <c r="I51" s="40">
        <f>IF(I$50&gt;0,I$50*'Données fiscales'!I105,0)</f>
        <v>9982741.144475814</v>
      </c>
      <c r="J51" s="40">
        <f>IF(J$50&gt;0,J$50*'Données fiscales'!J105,0)</f>
        <v>7056805.569185813</v>
      </c>
      <c r="K51" s="40">
        <f>IF(K$50&gt;0,K$50*'Données fiscales'!K105,0)</f>
        <v>5396022.2911033127</v>
      </c>
      <c r="L51" s="40">
        <f>IF(L$50&gt;0,L$50*'Données fiscales'!L105,0)</f>
        <v>8250209.2757458128</v>
      </c>
      <c r="M51" s="40">
        <f>IF(M$50&gt;0,M$50*'Données fiscales'!M105,0)</f>
        <v>11258928.28333997</v>
      </c>
    </row>
    <row r="52" spans="1:13" x14ac:dyDescent="0.3">
      <c r="A52" s="43"/>
      <c r="C52" s="40">
        <f>'Modèle de base (CM 2003)'!C51</f>
        <v>0</v>
      </c>
      <c r="D52" s="40">
        <f>'Modèle de base (CM 2003)'!D51</f>
        <v>0</v>
      </c>
      <c r="E52" s="40">
        <f>'Modèle de base (CM 2003)'!E51</f>
        <v>0</v>
      </c>
      <c r="F52" s="40">
        <f>'Modèle de base (CM 2003)'!F51</f>
        <v>0</v>
      </c>
      <c r="G52" s="40">
        <f>'Modèle de base (CM 2003)'!G51</f>
        <v>0</v>
      </c>
      <c r="H52" s="40">
        <f>'Modèle de base (CM 2003)'!H51</f>
        <v>0</v>
      </c>
      <c r="I52" s="40">
        <f>'Modèle de base (CM 2003)'!I51</f>
        <v>0</v>
      </c>
      <c r="J52" s="40">
        <f>'Modèle de base (CM 2003)'!J51</f>
        <v>0</v>
      </c>
      <c r="K52" s="40">
        <f>'Modèle de base (CM 2003)'!K51</f>
        <v>0</v>
      </c>
      <c r="L52" s="40">
        <f>'Modèle de base (CM 2003)'!L51</f>
        <v>0</v>
      </c>
      <c r="M52">
        <f>'Modèle de base (CM 2003)'!M51</f>
        <v>0</v>
      </c>
    </row>
    <row r="53" spans="1:13" x14ac:dyDescent="0.3">
      <c r="C53" s="40">
        <f>'Modèle de base (CM 2003)'!C52</f>
        <v>0</v>
      </c>
      <c r="D53" s="40">
        <f>'Modèle de base (CM 2003)'!D52</f>
        <v>0</v>
      </c>
      <c r="E53" s="40">
        <f>'Modèle de base (CM 2003)'!E52</f>
        <v>0</v>
      </c>
      <c r="F53" s="40">
        <f>'Modèle de base (CM 2003)'!F52</f>
        <v>0</v>
      </c>
      <c r="G53" s="40">
        <f>'Modèle de base (CM 2003)'!G52</f>
        <v>0</v>
      </c>
      <c r="H53" s="40">
        <f>'Modèle de base (CM 2003)'!H52</f>
        <v>0</v>
      </c>
      <c r="I53" s="40">
        <f>'Modèle de base (CM 2003)'!I52</f>
        <v>0</v>
      </c>
      <c r="J53" s="40">
        <f>'Modèle de base (CM 2003)'!J52</f>
        <v>0</v>
      </c>
      <c r="K53" s="40">
        <f>'Modèle de base (CM 2003)'!K52</f>
        <v>0</v>
      </c>
      <c r="L53" s="40">
        <f>'Modèle de base (CM 2003)'!L52</f>
        <v>0</v>
      </c>
      <c r="M53">
        <f>'Modèle de base (CM 2003)'!M52</f>
        <v>0</v>
      </c>
    </row>
    <row r="54" spans="1:13" ht="15" thickBot="1" x14ac:dyDescent="0.35">
      <c r="A54" s="44" t="s">
        <v>42</v>
      </c>
      <c r="C54" s="40">
        <f>C$29+C$33+C$37+C$45+C$49+C$51+C$40</f>
        <v>35400</v>
      </c>
      <c r="D54" s="40">
        <f t="shared" ref="D54:M54" si="9">D$29+D$33+D$37+D$45+D$49+D$51+D$40</f>
        <v>307980</v>
      </c>
      <c r="E54" s="40">
        <f t="shared" si="9"/>
        <v>38558354.884744979</v>
      </c>
      <c r="F54" s="40">
        <f t="shared" si="9"/>
        <v>56084810.759357482</v>
      </c>
      <c r="G54" s="40">
        <f t="shared" si="9"/>
        <v>33898459.978119984</v>
      </c>
      <c r="H54" s="40">
        <f t="shared" si="9"/>
        <v>18389377.724960811</v>
      </c>
      <c r="I54" s="40">
        <f t="shared" si="9"/>
        <v>50452699.516025826</v>
      </c>
      <c r="J54" s="40">
        <f t="shared" si="9"/>
        <v>35140264.639015816</v>
      </c>
      <c r="K54" s="40">
        <f t="shared" si="9"/>
        <v>26671219.187823318</v>
      </c>
      <c r="L54" s="40">
        <f t="shared" si="9"/>
        <v>42527648.119655818</v>
      </c>
      <c r="M54" s="40">
        <f t="shared" si="9"/>
        <v>61222600.525999971</v>
      </c>
    </row>
    <row r="55" spans="1:13" x14ac:dyDescent="0.3">
      <c r="A55" t="s">
        <v>25</v>
      </c>
      <c r="C55" s="40">
        <f>C$25-C$54</f>
        <v>-73481192</v>
      </c>
      <c r="D55" s="40">
        <f t="shared" ref="D55:M55" si="10">D$25-D$54</f>
        <v>-241715797</v>
      </c>
      <c r="E55" s="40">
        <f t="shared" si="10"/>
        <v>78243690.115255028</v>
      </c>
      <c r="F55" s="40">
        <f t="shared" si="10"/>
        <v>85459391.240642518</v>
      </c>
      <c r="G55" s="40">
        <f t="shared" si="10"/>
        <v>59866178.021880016</v>
      </c>
      <c r="H55" s="40">
        <f t="shared" si="10"/>
        <v>37178255.275039189</v>
      </c>
      <c r="I55" s="40">
        <f t="shared" si="10"/>
        <v>59551943.483974174</v>
      </c>
      <c r="J55" s="40">
        <f t="shared" si="10"/>
        <v>42818331.360984184</v>
      </c>
      <c r="K55" s="40">
        <f t="shared" si="10"/>
        <v>36897207.812176682</v>
      </c>
      <c r="L55" s="40">
        <f t="shared" si="10"/>
        <v>55050435.880344182</v>
      </c>
      <c r="M55" s="40">
        <f t="shared" si="10"/>
        <v>80707447.474000037</v>
      </c>
    </row>
    <row r="56" spans="1:13" x14ac:dyDescent="0.3">
      <c r="A56" t="s">
        <v>26</v>
      </c>
      <c r="C56" s="48">
        <f>NPV($B$11,C55:M55)</f>
        <v>99393777.444195241</v>
      </c>
      <c r="D56" s="40">
        <f>'Modèle de base (CM 2003)'!D55</f>
        <v>0</v>
      </c>
      <c r="E56" s="40">
        <f>'Modèle de base (CM 2003)'!E55</f>
        <v>0</v>
      </c>
      <c r="F56" s="40">
        <f>'Modèle de base (CM 2003)'!F55</f>
        <v>0</v>
      </c>
      <c r="G56" s="40">
        <f>'Modèle de base (CM 2003)'!G55</f>
        <v>0</v>
      </c>
      <c r="H56" s="40">
        <f>'Modèle de base (CM 2003)'!H55</f>
        <v>0</v>
      </c>
      <c r="I56" s="40">
        <f>'Modèle de base (CM 2003)'!I55</f>
        <v>0</v>
      </c>
      <c r="J56" s="40">
        <f>'Modèle de base (CM 2003)'!J55</f>
        <v>0</v>
      </c>
      <c r="K56" s="40">
        <f>'Modèle de base (CM 2003)'!K55</f>
        <v>0</v>
      </c>
      <c r="L56" s="40">
        <f>'Modèle de base (CM 2003)'!L55</f>
        <v>0</v>
      </c>
      <c r="M56">
        <f>'Modèle de base (CM 2003)'!M55</f>
        <v>0</v>
      </c>
    </row>
    <row r="57" spans="1:13" x14ac:dyDescent="0.3">
      <c r="A57" t="s">
        <v>27</v>
      </c>
      <c r="C57" s="45">
        <f>1-(C56/C26)</f>
        <v>0.72249967890081079</v>
      </c>
      <c r="D57" s="40">
        <f>'Modèle de base (CM 2003)'!D56</f>
        <v>0</v>
      </c>
      <c r="E57" s="40">
        <f>'Modèle de base (CM 2003)'!E56</f>
        <v>0</v>
      </c>
      <c r="F57" s="40">
        <f>'Modèle de base (CM 2003)'!F56</f>
        <v>0</v>
      </c>
      <c r="G57" s="40">
        <f>'Modèle de base (CM 2003)'!G56</f>
        <v>0</v>
      </c>
      <c r="H57" s="40">
        <f>'Modèle de base (CM 2003)'!H56</f>
        <v>0</v>
      </c>
      <c r="I57" s="40">
        <f>'Modèle de base (CM 2003)'!I56</f>
        <v>0</v>
      </c>
      <c r="J57" s="40">
        <f>'Modèle de base (CM 2003)'!J56</f>
        <v>0</v>
      </c>
      <c r="K57" s="40">
        <f>'Modèle de base (CM 2003)'!K56</f>
        <v>0</v>
      </c>
      <c r="L57" s="40">
        <f>'Modèle de base (CM 2003)'!L56</f>
        <v>0</v>
      </c>
      <c r="M57">
        <f>'Modèle de base (CM 2003)'!M56</f>
        <v>0</v>
      </c>
    </row>
    <row r="58" spans="1:13" x14ac:dyDescent="0.3">
      <c r="A58" t="s">
        <v>28</v>
      </c>
      <c r="C58" s="45">
        <f>IRR(C55:M55)</f>
        <v>0.12307964415822847</v>
      </c>
      <c r="D58" s="40">
        <f>'Modèle de base (CM 2003)'!D57</f>
        <v>0</v>
      </c>
      <c r="E58" s="40">
        <f>'Modèle de base (CM 2003)'!E57</f>
        <v>0</v>
      </c>
      <c r="F58" s="40">
        <f>'Modèle de base (CM 2003)'!F57</f>
        <v>-0.14925550203122595</v>
      </c>
      <c r="G58" s="40">
        <f>'Modèle de base (CM 2003)'!G57</f>
        <v>2.4126629486718176E-2</v>
      </c>
      <c r="H58" s="40">
        <f>'Modèle de base (CM 2003)'!H57</f>
        <v>0.10169092418588854</v>
      </c>
      <c r="I58" s="40">
        <f>'Modèle de base (CM 2003)'!I57</f>
        <v>0.17018121739632086</v>
      </c>
      <c r="J58" s="40">
        <f>'Modèle de base (CM 2003)'!J57</f>
        <v>0.20296263467627296</v>
      </c>
      <c r="K58" s="40">
        <f>'Modèle de base (CM 2003)'!K57</f>
        <v>0.22211529997727708</v>
      </c>
      <c r="L58" s="40">
        <f>'Modèle de base (CM 2003)'!L57</f>
        <v>0.2398636336929989</v>
      </c>
      <c r="M58">
        <f>'Modèle de base (CM 2003)'!M57</f>
        <v>0.2547241970984051</v>
      </c>
    </row>
    <row r="59" spans="1:13" x14ac:dyDescent="0.3">
      <c r="A59" t="s">
        <v>40</v>
      </c>
      <c r="C59" s="36">
        <f>1-C57</f>
        <v>0.27750032109918921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153B-6DCD-4372-8505-ECF99A9162B3}">
  <sheetPr>
    <tabColor rgb="FF92D050"/>
  </sheetPr>
  <dimension ref="A1:V59"/>
  <sheetViews>
    <sheetView tabSelected="1" workbookViewId="0">
      <pane xSplit="1" topLeftCell="L1" activePane="topRight" state="frozen"/>
      <selection activeCell="A11" sqref="A11"/>
      <selection pane="topRight" activeCell="Q14" sqref="Q14"/>
    </sheetView>
  </sheetViews>
  <sheetFormatPr baseColWidth="10" defaultRowHeight="14.4" x14ac:dyDescent="0.3"/>
  <cols>
    <col min="1" max="1" width="54.88671875" bestFit="1" customWidth="1"/>
    <col min="3" max="3" width="15.88671875" bestFit="1" customWidth="1"/>
    <col min="4" max="13" width="15.109375" bestFit="1" customWidth="1"/>
    <col min="16" max="16" width="29.77734375" bestFit="1" customWidth="1"/>
    <col min="18" max="19" width="12.5546875" bestFit="1" customWidth="1"/>
  </cols>
  <sheetData>
    <row r="1" spans="1:22" ht="18" x14ac:dyDescent="0.35">
      <c r="A1" s="77" t="s">
        <v>211</v>
      </c>
      <c r="B1" t="s">
        <v>0</v>
      </c>
      <c r="C1">
        <f>'Modèle de base (CM 2003)'!C1</f>
        <v>2011</v>
      </c>
      <c r="D1">
        <f>'Modèle de base (CM 2003)'!D1</f>
        <v>2012</v>
      </c>
      <c r="E1">
        <f>'Modèle de base (CM 2003)'!E1</f>
        <v>2013</v>
      </c>
      <c r="F1">
        <f>'Modèle de base (CM 2003)'!F1</f>
        <v>2014</v>
      </c>
      <c r="G1">
        <f>'Modèle de base (CM 2003)'!G1</f>
        <v>2015</v>
      </c>
      <c r="H1">
        <f>'Modèle de base (CM 2003)'!H1</f>
        <v>2016</v>
      </c>
      <c r="I1">
        <f>'Modèle de base (CM 2003)'!I1</f>
        <v>2017</v>
      </c>
      <c r="J1">
        <f>'Modèle de base (CM 2003)'!J1</f>
        <v>2018</v>
      </c>
      <c r="K1">
        <f>'Modèle de base (CM 2003)'!K1</f>
        <v>2019</v>
      </c>
      <c r="L1">
        <f>'Modèle de base (CM 2003)'!L1</f>
        <v>2020</v>
      </c>
      <c r="M1">
        <f>'Modèle de base (CM 2003)'!M1</f>
        <v>2021</v>
      </c>
    </row>
    <row r="2" spans="1:22" x14ac:dyDescent="0.3">
      <c r="A2" s="78"/>
      <c r="C2" s="40">
        <f>'Modèle de base (CM 2003)'!C2</f>
        <v>0</v>
      </c>
      <c r="D2" s="40">
        <f>'Modèle de base (CM 2003)'!D2</f>
        <v>0</v>
      </c>
      <c r="E2" s="40">
        <f>'Modèle de base (CM 2003)'!E2</f>
        <v>0</v>
      </c>
      <c r="F2" s="40">
        <f>'Modèle de base (CM 2003)'!F2</f>
        <v>0</v>
      </c>
      <c r="G2" s="40">
        <f>'Modèle de base (CM 2003)'!G2</f>
        <v>0</v>
      </c>
      <c r="H2" s="40">
        <f>'Modèle de base (CM 2003)'!H2</f>
        <v>0</v>
      </c>
      <c r="I2" s="40">
        <f>'Modèle de base (CM 2003)'!I2</f>
        <v>0</v>
      </c>
      <c r="J2" s="40">
        <f>'Modèle de base (CM 2003)'!J2</f>
        <v>0</v>
      </c>
      <c r="K2" s="40">
        <f>'Modèle de base (CM 2003)'!K2</f>
        <v>0</v>
      </c>
      <c r="L2" s="40">
        <f>'Modèle de base (CM 2003)'!L2</f>
        <v>0</v>
      </c>
      <c r="M2" s="40">
        <f>'Modèle de base (CM 2003)'!M2</f>
        <v>0</v>
      </c>
    </row>
    <row r="3" spans="1:22" x14ac:dyDescent="0.3">
      <c r="A3" s="78"/>
      <c r="C3" s="40">
        <f>'Modèle de base (CM 2003)'!C3</f>
        <v>0</v>
      </c>
      <c r="D3" s="40">
        <f>'Modèle de base (CM 2003)'!D3</f>
        <v>0</v>
      </c>
      <c r="E3" s="40">
        <f>'Modèle de base (CM 2003)'!E3</f>
        <v>0</v>
      </c>
      <c r="F3" s="40">
        <f>'Modèle de base (CM 2003)'!F3</f>
        <v>0</v>
      </c>
      <c r="G3" s="40">
        <f>'Modèle de base (CM 2003)'!G3</f>
        <v>0</v>
      </c>
      <c r="H3" s="40">
        <f>'Modèle de base (CM 2003)'!H3</f>
        <v>0</v>
      </c>
      <c r="I3" s="40">
        <f>'Modèle de base (CM 2003)'!I3</f>
        <v>0</v>
      </c>
      <c r="J3" s="40">
        <f>'Modèle de base (CM 2003)'!J3</f>
        <v>0</v>
      </c>
      <c r="K3" s="40">
        <f>'Modèle de base (CM 2003)'!K3</f>
        <v>0</v>
      </c>
      <c r="L3" s="40">
        <f>'Modèle de base (CM 2003)'!L3</f>
        <v>0</v>
      </c>
      <c r="M3" s="40">
        <f>'Modèle de base (CM 2003)'!M3</f>
        <v>0</v>
      </c>
    </row>
    <row r="4" spans="1:22" ht="18" x14ac:dyDescent="0.35">
      <c r="A4" s="77" t="s">
        <v>1</v>
      </c>
      <c r="C4" s="40">
        <f>'Modèle de base (CM 2003)'!C4</f>
        <v>0</v>
      </c>
      <c r="D4" s="40">
        <f>'Modèle de base (CM 2003)'!D4</f>
        <v>0</v>
      </c>
      <c r="E4" s="40">
        <f>'Modèle de base (CM 2003)'!E4</f>
        <v>0</v>
      </c>
      <c r="F4" s="40">
        <f>'Modèle de base (CM 2003)'!F4</f>
        <v>0</v>
      </c>
      <c r="G4" s="40">
        <f>'Modèle de base (CM 2003)'!G4</f>
        <v>0</v>
      </c>
      <c r="H4" s="40">
        <f>'Modèle de base (CM 2003)'!H4</f>
        <v>0</v>
      </c>
      <c r="I4" s="40">
        <f>'Modèle de base (CM 2003)'!I4</f>
        <v>0</v>
      </c>
      <c r="J4" s="40">
        <f>'Modèle de base (CM 2003)'!J4</f>
        <v>0</v>
      </c>
      <c r="K4" s="40">
        <f>'Modèle de base (CM 2003)'!K4</f>
        <v>0</v>
      </c>
      <c r="L4" s="40">
        <f>'Modèle de base (CM 2003)'!L4</f>
        <v>0</v>
      </c>
      <c r="M4" s="40">
        <f>'Modèle de base (CM 2003)'!M4</f>
        <v>0</v>
      </c>
    </row>
    <row r="5" spans="1:22" x14ac:dyDescent="0.3">
      <c r="A5" s="78" t="s">
        <v>2</v>
      </c>
      <c r="B5" t="s">
        <v>3</v>
      </c>
      <c r="C5" s="40">
        <f>'Modèle de base (CM 2003)'!C5</f>
        <v>0</v>
      </c>
      <c r="D5" s="40">
        <f>'Modèle de base (CM 2003)'!D5</f>
        <v>0</v>
      </c>
      <c r="E5" s="40">
        <f>'Modèle de base (CM 2003)'!E5</f>
        <v>0</v>
      </c>
      <c r="F5" s="40">
        <f>'Modèle de base (CM 2003)'!F5</f>
        <v>0</v>
      </c>
      <c r="G5" s="40">
        <f>'Modèle de base (CM 2003)'!G5</f>
        <v>0</v>
      </c>
      <c r="H5" s="40">
        <f>'Modèle de base (CM 2003)'!H5</f>
        <v>0</v>
      </c>
      <c r="I5" s="40">
        <f>'Modèle de base (CM 2003)'!I5</f>
        <v>0</v>
      </c>
      <c r="J5" s="40">
        <f>'Modèle de base (CM 2003)'!J5</f>
        <v>0</v>
      </c>
      <c r="K5" s="40">
        <f>'Modèle de base (CM 2003)'!K5</f>
        <v>0</v>
      </c>
      <c r="L5" s="40">
        <f>'Modèle de base (CM 2003)'!L5</f>
        <v>0</v>
      </c>
      <c r="M5" s="40">
        <f>'Modèle de base (CM 2003)'!M5</f>
        <v>0</v>
      </c>
    </row>
    <row r="6" spans="1:22" x14ac:dyDescent="0.3">
      <c r="A6" s="78" t="s">
        <v>4</v>
      </c>
      <c r="B6" t="s">
        <v>5</v>
      </c>
      <c r="C6" s="40">
        <f>'Modèle de base (CM 2003)'!C6</f>
        <v>0</v>
      </c>
      <c r="D6" s="40">
        <f>'Modèle de base (CM 2003)'!D6</f>
        <v>0</v>
      </c>
      <c r="E6" s="40">
        <f>'Modèle de base (CM 2003)'!E6</f>
        <v>0</v>
      </c>
      <c r="F6" s="40">
        <f>'Modèle de base (CM 2003)'!F6</f>
        <v>0</v>
      </c>
      <c r="G6" s="40">
        <f>'Modèle de base (CM 2003)'!G6</f>
        <v>0</v>
      </c>
      <c r="H6" s="40">
        <f>'Modèle de base (CM 2003)'!H6</f>
        <v>0</v>
      </c>
      <c r="I6" s="40">
        <f>'Modèle de base (CM 2003)'!I6</f>
        <v>0</v>
      </c>
      <c r="J6" s="40">
        <f>'Modèle de base (CM 2003)'!J6</f>
        <v>0</v>
      </c>
      <c r="K6" s="40">
        <f>'Modèle de base (CM 2003)'!K6</f>
        <v>0</v>
      </c>
      <c r="L6" s="40">
        <f>'Modèle de base (CM 2003)'!L6</f>
        <v>0</v>
      </c>
      <c r="M6" s="40">
        <f>'Modèle de base (CM 2003)'!M6</f>
        <v>0</v>
      </c>
    </row>
    <row r="7" spans="1:22" x14ac:dyDescent="0.3">
      <c r="A7" s="78" t="s">
        <v>6</v>
      </c>
      <c r="B7" t="s">
        <v>7</v>
      </c>
      <c r="C7" s="40">
        <f>'Modèle de base (CM 2003)'!C7</f>
        <v>0</v>
      </c>
      <c r="D7" s="40">
        <f>'Modèle de base (CM 2003)'!D7</f>
        <v>0</v>
      </c>
      <c r="E7" s="40">
        <f>'Modèle de base (CM 2003)'!E7</f>
        <v>191176</v>
      </c>
      <c r="F7" s="40">
        <f>'Modèle de base (CM 2003)'!F7</f>
        <v>215238</v>
      </c>
      <c r="G7" s="40">
        <f>'Modèle de base (CM 2003)'!G7</f>
        <v>189807</v>
      </c>
      <c r="H7" s="40">
        <f>'Modèle de base (CM 2003)'!H7</f>
        <v>168325</v>
      </c>
      <c r="I7" s="40">
        <f>'Modèle de base (CM 2003)'!I7</f>
        <v>210971</v>
      </c>
      <c r="J7" s="40">
        <f>'Modèle de base (CM 2003)'!J7</f>
        <v>167700</v>
      </c>
      <c r="K7" s="40">
        <f>'Modèle de base (CM 2003)'!K7</f>
        <v>136799</v>
      </c>
      <c r="L7" s="40">
        <f>'Modèle de base (CM 2003)'!L7</f>
        <v>152798</v>
      </c>
      <c r="M7" s="40">
        <f>'Modèle de base (CM 2003)'!M7</f>
        <v>119370</v>
      </c>
    </row>
    <row r="8" spans="1:22" ht="18" x14ac:dyDescent="0.35">
      <c r="A8" s="77" t="s">
        <v>8</v>
      </c>
      <c r="B8">
        <f>Q11</f>
        <v>1300</v>
      </c>
      <c r="C8" s="40">
        <f>'Modèle de base (CM 2003)'!C8</f>
        <v>0</v>
      </c>
      <c r="D8" s="40">
        <f>'Modèle de base (CM 2003)'!D8</f>
        <v>0</v>
      </c>
      <c r="E8" s="40">
        <f>'Modèle de base (CM 2003)'!E8</f>
        <v>1300</v>
      </c>
      <c r="F8" s="40">
        <f>'Modèle de base (CM 2003)'!F8</f>
        <v>1300</v>
      </c>
      <c r="G8" s="40">
        <f>'Modèle de base (CM 2003)'!G8</f>
        <v>1300</v>
      </c>
      <c r="H8" s="40">
        <f>'Modèle de base (CM 2003)'!H8</f>
        <v>1300</v>
      </c>
      <c r="I8" s="40">
        <f>'Modèle de base (CM 2003)'!I8</f>
        <v>1300</v>
      </c>
      <c r="J8" s="40">
        <f>'Modèle de base (CM 2003)'!J8</f>
        <v>1300</v>
      </c>
      <c r="K8" s="40">
        <f>'Modèle de base (CM 2003)'!K8</f>
        <v>1300</v>
      </c>
      <c r="L8" s="40">
        <f>'Modèle de base (CM 2003)'!L8</f>
        <v>1300</v>
      </c>
      <c r="M8" s="40">
        <f>'Modèle de base (CM 2003)'!M8</f>
        <v>1300</v>
      </c>
    </row>
    <row r="9" spans="1:22" x14ac:dyDescent="0.3">
      <c r="A9" s="78" t="s">
        <v>10</v>
      </c>
      <c r="B9" t="s">
        <v>11</v>
      </c>
      <c r="C9" s="40">
        <f>$B$8*C7</f>
        <v>0</v>
      </c>
      <c r="D9" s="40">
        <f t="shared" ref="D9:M9" si="0">$B$8*D7</f>
        <v>0</v>
      </c>
      <c r="E9" s="40">
        <f t="shared" si="0"/>
        <v>248528800</v>
      </c>
      <c r="F9" s="40">
        <f t="shared" si="0"/>
        <v>279809400</v>
      </c>
      <c r="G9" s="40">
        <f t="shared" si="0"/>
        <v>246749100</v>
      </c>
      <c r="H9" s="40">
        <f t="shared" si="0"/>
        <v>218822500</v>
      </c>
      <c r="I9" s="40">
        <f t="shared" si="0"/>
        <v>274262300</v>
      </c>
      <c r="J9" s="40">
        <f t="shared" si="0"/>
        <v>218010000</v>
      </c>
      <c r="K9" s="40">
        <f t="shared" si="0"/>
        <v>177838700</v>
      </c>
      <c r="L9" s="40">
        <f t="shared" si="0"/>
        <v>198637400</v>
      </c>
      <c r="M9" s="40">
        <f t="shared" si="0"/>
        <v>155181000</v>
      </c>
    </row>
    <row r="10" spans="1:22" x14ac:dyDescent="0.3">
      <c r="A10" s="78" t="s">
        <v>35</v>
      </c>
      <c r="B10">
        <v>493.00614999999999</v>
      </c>
      <c r="C10" s="40">
        <f>'Modèle de base (CM 2003)'!C10</f>
        <v>0</v>
      </c>
      <c r="D10" s="40">
        <f>'Modèle de base (CM 2003)'!D10</f>
        <v>0</v>
      </c>
      <c r="E10" s="40">
        <f>'Modèle de base (CM 2003)'!E10</f>
        <v>0</v>
      </c>
      <c r="F10" s="40">
        <f>'Modèle de base (CM 2003)'!F10</f>
        <v>0</v>
      </c>
      <c r="G10" s="40">
        <f>'Modèle de base (CM 2003)'!G10</f>
        <v>0</v>
      </c>
      <c r="H10" s="40">
        <f>'Modèle de base (CM 2003)'!H10</f>
        <v>0</v>
      </c>
      <c r="I10" s="40">
        <f>'Modèle de base (CM 2003)'!I10</f>
        <v>0</v>
      </c>
      <c r="J10" s="40">
        <f>'Modèle de base (CM 2003)'!J10</f>
        <v>0</v>
      </c>
      <c r="K10" s="40">
        <f>'Modèle de base (CM 2003)'!K10</f>
        <v>0</v>
      </c>
      <c r="L10" s="40">
        <f>'Modèle de base (CM 2003)'!L10</f>
        <v>0</v>
      </c>
      <c r="M10" s="40">
        <f>'Modèle de base (CM 2003)'!M10</f>
        <v>0</v>
      </c>
      <c r="P10" s="87"/>
      <c r="Q10" s="87" t="s">
        <v>125</v>
      </c>
      <c r="R10" s="87" t="s">
        <v>121</v>
      </c>
      <c r="S10" s="87" t="s">
        <v>122</v>
      </c>
      <c r="T10" s="87" t="s">
        <v>27</v>
      </c>
      <c r="U10" s="87" t="s">
        <v>123</v>
      </c>
      <c r="V10" s="87" t="s">
        <v>124</v>
      </c>
    </row>
    <row r="11" spans="1:22" x14ac:dyDescent="0.3">
      <c r="A11" s="78" t="s">
        <v>36</v>
      </c>
      <c r="B11" s="19">
        <f>Q12</f>
        <v>0.03</v>
      </c>
      <c r="C11" s="40">
        <f>'Modèle de base (CM 2003)'!C11</f>
        <v>0</v>
      </c>
      <c r="D11" s="40">
        <f>'Modèle de base (CM 2003)'!D11</f>
        <v>0</v>
      </c>
      <c r="E11" s="40">
        <f>'Modèle de base (CM 2003)'!E11</f>
        <v>0</v>
      </c>
      <c r="F11" s="40">
        <f>'Modèle de base (CM 2003)'!F11</f>
        <v>0</v>
      </c>
      <c r="G11" s="40">
        <f>'Modèle de base (CM 2003)'!G11</f>
        <v>0</v>
      </c>
      <c r="H11" s="40">
        <f>'Modèle de base (CM 2003)'!H11</f>
        <v>0</v>
      </c>
      <c r="I11" s="40">
        <f>'Modèle de base (CM 2003)'!I11</f>
        <v>0</v>
      </c>
      <c r="J11" s="40">
        <f>'Modèle de base (CM 2003)'!J11</f>
        <v>0</v>
      </c>
      <c r="K11" s="40">
        <f>'Modèle de base (CM 2003)'!K11</f>
        <v>0</v>
      </c>
      <c r="L11" s="40">
        <f>'Modèle de base (CM 2003)'!L11</f>
        <v>0</v>
      </c>
      <c r="M11" s="40">
        <f>'Modèle de base (CM 2003)'!M11</f>
        <v>0</v>
      </c>
      <c r="P11" s="87" t="s">
        <v>8</v>
      </c>
      <c r="Q11" s="83">
        <v>1300</v>
      </c>
      <c r="R11" s="84">
        <f>C26</f>
        <v>436058738.87724829</v>
      </c>
      <c r="S11" s="84">
        <f>C56</f>
        <v>173084195.28368658</v>
      </c>
      <c r="T11" s="85">
        <f>C57</f>
        <v>0.60307137582120496</v>
      </c>
      <c r="U11" s="86">
        <f>C27</f>
        <v>0.27738178816017744</v>
      </c>
      <c r="V11" s="86">
        <f>C58</f>
        <v>0.14247930695575795</v>
      </c>
    </row>
    <row r="12" spans="1:22" x14ac:dyDescent="0.3">
      <c r="A12" s="78"/>
      <c r="C12" s="40">
        <f>'Modèle de base (CM 2003)'!C12</f>
        <v>0</v>
      </c>
      <c r="D12" s="40">
        <f>'Modèle de base (CM 2003)'!D12</f>
        <v>0</v>
      </c>
      <c r="E12" s="40">
        <f>'Modèle de base (CM 2003)'!E12</f>
        <v>0</v>
      </c>
      <c r="F12" s="40">
        <f>'Modèle de base (CM 2003)'!F12</f>
        <v>0</v>
      </c>
      <c r="G12" s="40">
        <f>'Modèle de base (CM 2003)'!G12</f>
        <v>0</v>
      </c>
      <c r="H12" s="40">
        <f>'Modèle de base (CM 2003)'!H12</f>
        <v>0</v>
      </c>
      <c r="I12" s="40">
        <f>'Modèle de base (CM 2003)'!I12</f>
        <v>0</v>
      </c>
      <c r="J12" s="40">
        <f>'Modèle de base (CM 2003)'!J12</f>
        <v>0</v>
      </c>
      <c r="K12" s="40">
        <f>'Modèle de base (CM 2003)'!K12</f>
        <v>0</v>
      </c>
      <c r="L12" s="40">
        <f>'Modèle de base (CM 2003)'!L12</f>
        <v>0</v>
      </c>
      <c r="M12" s="40">
        <f>'Modèle de base (CM 2003)'!M12</f>
        <v>0</v>
      </c>
      <c r="P12" s="87" t="s">
        <v>36</v>
      </c>
      <c r="Q12" s="86">
        <v>0.03</v>
      </c>
      <c r="R12" s="83"/>
      <c r="S12" s="83"/>
      <c r="T12" s="83"/>
      <c r="U12" s="83"/>
      <c r="V12" s="83"/>
    </row>
    <row r="13" spans="1:22" ht="18" x14ac:dyDescent="0.35">
      <c r="A13" s="77" t="s">
        <v>12</v>
      </c>
      <c r="C13" s="40">
        <f>'Modèle de base (CM 2003)'!C13</f>
        <v>0</v>
      </c>
      <c r="D13" s="40">
        <f>'Modèle de base (CM 2003)'!D13</f>
        <v>0</v>
      </c>
      <c r="E13" s="40">
        <f>'Modèle de base (CM 2003)'!E13</f>
        <v>0</v>
      </c>
      <c r="F13" s="40">
        <f>'Modèle de base (CM 2003)'!F13</f>
        <v>0</v>
      </c>
      <c r="G13" s="40">
        <f>'Modèle de base (CM 2003)'!G13</f>
        <v>0</v>
      </c>
      <c r="H13" s="40">
        <f>'Modèle de base (CM 2003)'!H13</f>
        <v>0</v>
      </c>
      <c r="I13" s="40">
        <f>'Modèle de base (CM 2003)'!I13</f>
        <v>0</v>
      </c>
      <c r="J13" s="40">
        <f>'Modèle de base (CM 2003)'!J13</f>
        <v>0</v>
      </c>
      <c r="K13" s="40">
        <f>'Modèle de base (CM 2003)'!K13</f>
        <v>0</v>
      </c>
      <c r="L13" s="40">
        <f>'Modèle de base (CM 2003)'!L13</f>
        <v>0</v>
      </c>
      <c r="M13" s="40">
        <f>'Modèle de base (CM 2003)'!M13</f>
        <v>0</v>
      </c>
      <c r="P13" s="87" t="s">
        <v>119</v>
      </c>
      <c r="Q13" s="85">
        <v>0.27500000000000002</v>
      </c>
      <c r="R13" s="83"/>
      <c r="S13" s="83"/>
      <c r="T13" s="83"/>
      <c r="U13" s="83"/>
      <c r="V13" s="83"/>
    </row>
    <row r="14" spans="1:22" x14ac:dyDescent="0.3">
      <c r="A14" s="79" t="s">
        <v>110</v>
      </c>
      <c r="B14" t="s">
        <v>11</v>
      </c>
      <c r="C14" s="40">
        <f>'Modèle de base (CM 2003)'!C14</f>
        <v>49760265</v>
      </c>
      <c r="D14" s="40">
        <f>'Modèle de base (CM 2003)'!D14</f>
        <v>116107284</v>
      </c>
      <c r="E14" s="40">
        <f>'Modèle de base (CM 2003)'!E14</f>
        <v>0</v>
      </c>
      <c r="F14" s="40">
        <f>'Modèle de base (CM 2003)'!F14</f>
        <v>0</v>
      </c>
      <c r="G14" s="40">
        <f>'Modèle de base (CM 2003)'!G14</f>
        <v>0</v>
      </c>
      <c r="H14" s="40">
        <f>'Modèle de base (CM 2003)'!H14</f>
        <v>0</v>
      </c>
      <c r="I14" s="40">
        <f>'Modèle de base (CM 2003)'!I14</f>
        <v>0</v>
      </c>
      <c r="J14" s="40">
        <f>'Modèle de base (CM 2003)'!J14</f>
        <v>0</v>
      </c>
      <c r="K14" s="40">
        <f>'Modèle de base (CM 2003)'!K14</f>
        <v>0</v>
      </c>
      <c r="L14" s="40">
        <f>'Modèle de base (CM 2003)'!L14</f>
        <v>0</v>
      </c>
      <c r="M14" s="40">
        <f>'Modèle de base (CM 2003)'!M14</f>
        <v>0</v>
      </c>
      <c r="P14" s="88" t="s">
        <v>120</v>
      </c>
      <c r="Q14" s="86">
        <v>0.04</v>
      </c>
      <c r="R14" s="83"/>
      <c r="S14" s="83"/>
      <c r="T14" s="83"/>
      <c r="U14" s="83"/>
      <c r="V14" s="83"/>
    </row>
    <row r="15" spans="1:22" x14ac:dyDescent="0.3">
      <c r="A15" s="79" t="s">
        <v>111</v>
      </c>
      <c r="C15" s="40">
        <f>'Modèle de base (CM 2003)'!C15</f>
        <v>23685527</v>
      </c>
      <c r="D15" s="40">
        <f>'Modèle de base (CM 2003)'!D15</f>
        <v>125300533</v>
      </c>
      <c r="E15" s="40">
        <f>'Modèle de base (CM 2003)'!E15</f>
        <v>11632917</v>
      </c>
      <c r="F15" s="40">
        <f>'Modèle de base (CM 2003)'!F15</f>
        <v>3722927</v>
      </c>
      <c r="G15" s="40">
        <f>'Modèle de base (CM 2003)'!G15</f>
        <v>18272647</v>
      </c>
      <c r="H15" s="40">
        <f>'Modèle de base (CM 2003)'!H15</f>
        <v>4482500</v>
      </c>
      <c r="I15" s="40">
        <f>'Modèle de base (CM 2003)'!I15</f>
        <v>2137128</v>
      </c>
      <c r="J15" s="40">
        <f>'Modèle de base (CM 2003)'!J15</f>
        <v>1103055</v>
      </c>
      <c r="K15" s="40">
        <f>'Modèle de base (CM 2003)'!K15</f>
        <v>4934651</v>
      </c>
      <c r="L15" s="40">
        <f>'Modèle de base (CM 2003)'!L15</f>
        <v>2727670</v>
      </c>
      <c r="M15" s="40">
        <f>'Modèle de base (CM 2003)'!M15</f>
        <v>542926</v>
      </c>
    </row>
    <row r="16" spans="1:22" x14ac:dyDescent="0.3">
      <c r="A16" s="78" t="s">
        <v>113</v>
      </c>
      <c r="B16" t="s">
        <v>11</v>
      </c>
      <c r="C16" s="40">
        <f>'Modèle de base (CM 2003)'!C16</f>
        <v>0</v>
      </c>
      <c r="D16" s="40">
        <f>'Modèle de base (CM 2003)'!D16</f>
        <v>0</v>
      </c>
      <c r="E16" s="40">
        <f>'Modèle de base (CM 2003)'!E16</f>
        <v>1595000</v>
      </c>
      <c r="F16" s="40">
        <f>'Modèle de base (CM 2003)'!F16</f>
        <v>2708200</v>
      </c>
      <c r="G16" s="40">
        <f>'Modèle de base (CM 2003)'!G16</f>
        <v>249700</v>
      </c>
      <c r="H16" s="40">
        <f>'Modèle de base (CM 2003)'!H16</f>
        <v>2581553</v>
      </c>
      <c r="I16" s="40">
        <f>'Modèle de base (CM 2003)'!I16</f>
        <v>469553</v>
      </c>
      <c r="J16" s="40">
        <f>'Modèle de base (CM 2003)'!J16</f>
        <v>3654542</v>
      </c>
      <c r="K16" s="40">
        <f>'Modèle de base (CM 2003)'!K16</f>
        <v>249700</v>
      </c>
      <c r="L16" s="40">
        <f>'Modèle de base (CM 2003)'!L16</f>
        <v>106700</v>
      </c>
      <c r="M16" s="40">
        <f>'Modèle de base (CM 2003)'!M16</f>
        <v>0</v>
      </c>
    </row>
    <row r="17" spans="1:13" x14ac:dyDescent="0.3">
      <c r="A17" s="79" t="s">
        <v>112</v>
      </c>
      <c r="B17" t="s">
        <v>11</v>
      </c>
      <c r="C17" s="40">
        <f>'Modèle de base (CM 2003)'!C17</f>
        <v>0</v>
      </c>
      <c r="D17" s="40">
        <f>'Modèle de base (CM 2003)'!D17</f>
        <v>0</v>
      </c>
      <c r="E17" s="40">
        <f>'Modèle de base (CM 2003)'!E17</f>
        <v>2830244</v>
      </c>
      <c r="F17" s="40">
        <f>'Modèle de base (CM 2003)'!F17</f>
        <v>3314368</v>
      </c>
      <c r="G17" s="40">
        <f>'Modèle de base (CM 2003)'!G17</f>
        <v>3215137</v>
      </c>
      <c r="H17" s="40">
        <f>'Modèle de base (CM 2003)'!H17</f>
        <v>3842412</v>
      </c>
      <c r="I17" s="40">
        <f>'Modèle de base (CM 2003)'!I17</f>
        <v>4018506</v>
      </c>
      <c r="J17" s="40">
        <f>'Modèle de base (CM 2003)'!J17</f>
        <v>2935298</v>
      </c>
      <c r="K17" s="40">
        <f>'Modèle de base (CM 2003)'!K17</f>
        <v>1813443</v>
      </c>
      <c r="L17" s="40">
        <f>'Modèle de base (CM 2003)'!L17</f>
        <v>1249254</v>
      </c>
      <c r="M17" s="40">
        <f>'Modèle de base (CM 2003)'!M17</f>
        <v>3165512</v>
      </c>
    </row>
    <row r="18" spans="1:13" x14ac:dyDescent="0.3">
      <c r="A18" s="78" t="s">
        <v>13</v>
      </c>
      <c r="B18" t="s">
        <v>11</v>
      </c>
      <c r="C18" s="40">
        <f>SUM(C14:C17)</f>
        <v>73445792</v>
      </c>
      <c r="D18" s="40">
        <f t="shared" ref="D18:M18" si="1">SUM(D14:D17)</f>
        <v>241407817</v>
      </c>
      <c r="E18" s="40">
        <f t="shared" si="1"/>
        <v>16058161</v>
      </c>
      <c r="F18" s="40">
        <f t="shared" si="1"/>
        <v>9745495</v>
      </c>
      <c r="G18" s="40">
        <f t="shared" si="1"/>
        <v>21737484</v>
      </c>
      <c r="H18" s="40">
        <f t="shared" si="1"/>
        <v>10906465</v>
      </c>
      <c r="I18" s="40">
        <f t="shared" si="1"/>
        <v>6625187</v>
      </c>
      <c r="J18" s="40">
        <f t="shared" si="1"/>
        <v>7692895</v>
      </c>
      <c r="K18" s="40">
        <f t="shared" si="1"/>
        <v>6997794</v>
      </c>
      <c r="L18" s="40">
        <f t="shared" si="1"/>
        <v>4083624</v>
      </c>
      <c r="M18" s="40">
        <f t="shared" si="1"/>
        <v>3708438</v>
      </c>
    </row>
    <row r="19" spans="1:13" x14ac:dyDescent="0.3">
      <c r="A19" s="78"/>
      <c r="C19" s="40">
        <f>'Modèle de base (CM 2003)'!C19</f>
        <v>0</v>
      </c>
      <c r="D19" s="40">
        <f>'Modèle de base (CM 2003)'!D19</f>
        <v>0</v>
      </c>
      <c r="E19" s="40">
        <f>'Modèle de base (CM 2003)'!E19</f>
        <v>0</v>
      </c>
      <c r="F19" s="40">
        <f>'Modèle de base (CM 2003)'!F19</f>
        <v>0</v>
      </c>
      <c r="G19" s="40">
        <f>'Modèle de base (CM 2003)'!G19</f>
        <v>0</v>
      </c>
      <c r="H19" s="40">
        <f>'Modèle de base (CM 2003)'!H19</f>
        <v>0</v>
      </c>
      <c r="I19" s="40">
        <f>'Modèle de base (CM 2003)'!I19</f>
        <v>0</v>
      </c>
      <c r="J19" s="40">
        <f>'Modèle de base (CM 2003)'!J19</f>
        <v>0</v>
      </c>
      <c r="K19" s="40">
        <f>'Modèle de base (CM 2003)'!K19</f>
        <v>0</v>
      </c>
      <c r="L19" s="40">
        <f>'Modèle de base (CM 2003)'!L19</f>
        <v>0</v>
      </c>
      <c r="M19" s="40">
        <f>'Modèle de base (CM 2003)'!M19</f>
        <v>0</v>
      </c>
    </row>
    <row r="20" spans="1:13" ht="18" x14ac:dyDescent="0.35">
      <c r="A20" s="77" t="s">
        <v>14</v>
      </c>
      <c r="B20" t="s">
        <v>11</v>
      </c>
      <c r="C20" s="40">
        <f>'Modèle de base (CM 2003)'!C20</f>
        <v>0</v>
      </c>
      <c r="D20" s="40">
        <f>'Modèle de base (CM 2003)'!D20</f>
        <v>0</v>
      </c>
      <c r="E20" s="40">
        <f>'Modèle de base (CM 2003)'!E20</f>
        <v>115668594</v>
      </c>
      <c r="F20" s="40">
        <f>'Modèle de base (CM 2003)'!F20</f>
        <v>128519703</v>
      </c>
      <c r="G20" s="40">
        <f>'Modèle de base (CM 2003)'!G20</f>
        <v>131246978</v>
      </c>
      <c r="H20" s="40">
        <f>'Modèle de base (CM 2003)'!H20</f>
        <v>152348402</v>
      </c>
      <c r="I20" s="40">
        <f>'Modèle de base (CM 2003)'!I20</f>
        <v>157632470</v>
      </c>
      <c r="J20" s="40">
        <f>'Modèle de base (CM 2003)'!J20</f>
        <v>132358509</v>
      </c>
      <c r="K20" s="40">
        <f>'Modèle de base (CM 2003)'!K20</f>
        <v>107272479</v>
      </c>
      <c r="L20" s="40">
        <f>'Modèle de base (CM 2003)'!L20</f>
        <v>96975692</v>
      </c>
      <c r="M20" s="40">
        <f>'Modèle de base (CM 2003)'!M20</f>
        <v>9542514</v>
      </c>
    </row>
    <row r="21" spans="1:13" ht="18" x14ac:dyDescent="0.35">
      <c r="A21" s="77" t="s">
        <v>15</v>
      </c>
      <c r="B21" t="s">
        <v>9</v>
      </c>
      <c r="C21" s="40">
        <f>'Modèle de base (CM 2003)'!C21</f>
        <v>0</v>
      </c>
      <c r="D21" s="40">
        <f>'Modèle de base (CM 2003)'!D21</f>
        <v>0</v>
      </c>
      <c r="E21" s="40">
        <f>E20/E7</f>
        <v>605.03721178390595</v>
      </c>
      <c r="F21" s="40">
        <f t="shared" ref="F21:M21" si="2">F20/F7</f>
        <v>597.10507902879601</v>
      </c>
      <c r="G21" s="40">
        <f t="shared" si="2"/>
        <v>691.47596242498958</v>
      </c>
      <c r="H21" s="40">
        <f t="shared" si="2"/>
        <v>905.08481806029999</v>
      </c>
      <c r="I21" s="40">
        <f t="shared" si="2"/>
        <v>747.17600997293471</v>
      </c>
      <c r="J21" s="40">
        <f t="shared" si="2"/>
        <v>789.25765652951702</v>
      </c>
      <c r="K21" s="40">
        <f t="shared" si="2"/>
        <v>784.1612804187165</v>
      </c>
      <c r="L21" s="40">
        <f t="shared" si="2"/>
        <v>634.66597730336787</v>
      </c>
      <c r="M21" s="40">
        <f t="shared" si="2"/>
        <v>79.94063835134456</v>
      </c>
    </row>
    <row r="22" spans="1:13" x14ac:dyDescent="0.3">
      <c r="A22" s="78"/>
      <c r="C22" s="40">
        <f>'Modèle de base (CM 2003)'!C22</f>
        <v>0</v>
      </c>
      <c r="D22" s="40">
        <f>'Modèle de base (CM 2003)'!D22</f>
        <v>0</v>
      </c>
      <c r="E22" s="40">
        <f>'Modèle de base (CM 2003)'!E22</f>
        <v>0</v>
      </c>
      <c r="F22" s="40">
        <f>'Modèle de base (CM 2003)'!F22</f>
        <v>0</v>
      </c>
      <c r="G22" s="40">
        <f>'Modèle de base (CM 2003)'!G22</f>
        <v>0</v>
      </c>
      <c r="H22" s="40">
        <f>'Modèle de base (CM 2003)'!H22</f>
        <v>0</v>
      </c>
      <c r="I22" s="40">
        <f>'Modèle de base (CM 2003)'!I22</f>
        <v>0</v>
      </c>
      <c r="J22" s="40">
        <f>'Modèle de base (CM 2003)'!J22</f>
        <v>0</v>
      </c>
      <c r="K22" s="40">
        <f>'Modèle de base (CM 2003)'!K22</f>
        <v>0</v>
      </c>
      <c r="L22" s="40">
        <f>'Modèle de base (CM 2003)'!L22</f>
        <v>0</v>
      </c>
      <c r="M22" s="40">
        <f>'Modèle de base (CM 2003)'!M22</f>
        <v>0</v>
      </c>
    </row>
    <row r="23" spans="1:13" x14ac:dyDescent="0.3">
      <c r="A23" s="78" t="s">
        <v>16</v>
      </c>
      <c r="C23" s="40">
        <f>C$18+C$20</f>
        <v>73445792</v>
      </c>
      <c r="D23" s="40">
        <f t="shared" ref="D23:M23" si="3">D$18+D$20</f>
        <v>241407817</v>
      </c>
      <c r="E23" s="40">
        <f t="shared" si="3"/>
        <v>131726755</v>
      </c>
      <c r="F23" s="40">
        <f t="shared" si="3"/>
        <v>138265198</v>
      </c>
      <c r="G23" s="40">
        <f t="shared" si="3"/>
        <v>152984462</v>
      </c>
      <c r="H23" s="40">
        <f t="shared" si="3"/>
        <v>163254867</v>
      </c>
      <c r="I23" s="40">
        <f t="shared" si="3"/>
        <v>164257657</v>
      </c>
      <c r="J23" s="40">
        <f t="shared" si="3"/>
        <v>140051404</v>
      </c>
      <c r="K23" s="40">
        <f t="shared" si="3"/>
        <v>114270273</v>
      </c>
      <c r="L23" s="40">
        <f t="shared" si="3"/>
        <v>101059316</v>
      </c>
      <c r="M23" s="40">
        <f t="shared" si="3"/>
        <v>13250952</v>
      </c>
    </row>
    <row r="24" spans="1:13" x14ac:dyDescent="0.3">
      <c r="A24" s="78"/>
      <c r="C24" s="40">
        <f>'Modèle de base (CM 2003)'!C24</f>
        <v>0</v>
      </c>
      <c r="D24" s="40">
        <f>'Modèle de base (CM 2003)'!D24</f>
        <v>0</v>
      </c>
      <c r="E24" s="40">
        <f>'Modèle de base (CM 2003)'!E24</f>
        <v>0</v>
      </c>
      <c r="F24" s="40">
        <f>'Modèle de base (CM 2003)'!F24</f>
        <v>0</v>
      </c>
      <c r="G24" s="40">
        <f>'Modèle de base (CM 2003)'!G24</f>
        <v>0</v>
      </c>
      <c r="H24" s="40">
        <f>'Modèle de base (CM 2003)'!H24</f>
        <v>0</v>
      </c>
      <c r="I24" s="40">
        <f>'Modèle de base (CM 2003)'!I24</f>
        <v>0</v>
      </c>
      <c r="J24" s="40">
        <f>'Modèle de base (CM 2003)'!J24</f>
        <v>0</v>
      </c>
      <c r="K24" s="40">
        <f>'Modèle de base (CM 2003)'!K24</f>
        <v>0</v>
      </c>
      <c r="L24" s="40">
        <f>'Modèle de base (CM 2003)'!L24</f>
        <v>0</v>
      </c>
      <c r="M24" s="40">
        <f>'Modèle de base (CM 2003)'!M24</f>
        <v>0</v>
      </c>
    </row>
    <row r="25" spans="1:13" x14ac:dyDescent="0.3">
      <c r="A25" s="78" t="s">
        <v>17</v>
      </c>
      <c r="C25" s="40">
        <f>C$9-C$23</f>
        <v>-73445792</v>
      </c>
      <c r="D25" s="40">
        <f t="shared" ref="D25:M25" si="4">D$9-D$23</f>
        <v>-241407817</v>
      </c>
      <c r="E25" s="40">
        <f t="shared" si="4"/>
        <v>116802045</v>
      </c>
      <c r="F25" s="40">
        <f t="shared" si="4"/>
        <v>141544202</v>
      </c>
      <c r="G25" s="40">
        <f t="shared" si="4"/>
        <v>93764638</v>
      </c>
      <c r="H25" s="40">
        <f t="shared" si="4"/>
        <v>55567633</v>
      </c>
      <c r="I25" s="40">
        <f t="shared" si="4"/>
        <v>110004643</v>
      </c>
      <c r="J25" s="40">
        <f t="shared" si="4"/>
        <v>77958596</v>
      </c>
      <c r="K25" s="40">
        <f t="shared" si="4"/>
        <v>63568427</v>
      </c>
      <c r="L25" s="40">
        <f t="shared" si="4"/>
        <v>97578084</v>
      </c>
      <c r="M25" s="40">
        <f t="shared" si="4"/>
        <v>141930048</v>
      </c>
    </row>
    <row r="26" spans="1:13" x14ac:dyDescent="0.3">
      <c r="A26" s="78" t="s">
        <v>18</v>
      </c>
      <c r="C26" s="48">
        <f>NPV($B$11,C25:M25)</f>
        <v>436058738.87724829</v>
      </c>
      <c r="D26" s="40">
        <f>'Modèle de base (CM 2003)'!D26</f>
        <v>0</v>
      </c>
      <c r="E26" s="40">
        <f>'Modèle de base (CM 2003)'!E26</f>
        <v>0</v>
      </c>
      <c r="F26" s="40">
        <f>'Modèle de base (CM 2003)'!F26</f>
        <v>0</v>
      </c>
      <c r="G26" s="40">
        <f>'Modèle de base (CM 2003)'!G26</f>
        <v>0</v>
      </c>
      <c r="H26" s="40">
        <f>'Modèle de base (CM 2003)'!H26</f>
        <v>0</v>
      </c>
      <c r="I26" s="40">
        <f>'Modèle de base (CM 2003)'!I26</f>
        <v>0</v>
      </c>
      <c r="J26" s="40">
        <f>'Modèle de base (CM 2003)'!J26</f>
        <v>0</v>
      </c>
      <c r="K26" s="40">
        <f>'Modèle de base (CM 2003)'!K26</f>
        <v>0</v>
      </c>
      <c r="L26" s="40">
        <f>'Modèle de base (CM 2003)'!L26</f>
        <v>0</v>
      </c>
      <c r="M26" s="40">
        <f>'Modèle de base (CM 2003)'!M26</f>
        <v>0</v>
      </c>
    </row>
    <row r="27" spans="1:13" x14ac:dyDescent="0.3">
      <c r="A27" s="78" t="s">
        <v>19</v>
      </c>
      <c r="C27" s="19">
        <f>IRR(C25:M25)</f>
        <v>0.27738178816017744</v>
      </c>
      <c r="D27" s="40">
        <f>'Modèle de base (CM 2003)'!D27</f>
        <v>0</v>
      </c>
      <c r="E27" s="40">
        <f>'Modèle de base (CM 2003)'!E27</f>
        <v>-0.39130880088172382</v>
      </c>
      <c r="F27" s="40">
        <f>'Modèle de base (CM 2003)'!F27</f>
        <v>0.11243079110208098</v>
      </c>
      <c r="G27" s="40">
        <f>'Modèle de base (CM 2003)'!G27</f>
        <v>0.27689970400013508</v>
      </c>
      <c r="H27" s="40">
        <f>'Modèle de base (CM 2003)'!H27</f>
        <v>0.34079760300658513</v>
      </c>
      <c r="I27" s="40">
        <f>'Modèle de base (CM 2003)'!I27</f>
        <v>0.40012658741461915</v>
      </c>
      <c r="J27" s="40">
        <f>'Modèle de base (CM 2003)'!J27</f>
        <v>0.42540793881104033</v>
      </c>
      <c r="K27" s="40">
        <f>'Modèle de base (CM 2003)'!K27</f>
        <v>0.43824982681485536</v>
      </c>
      <c r="L27" s="40">
        <f>'Modèle de base (CM 2003)'!L27</f>
        <v>0.44942431685371487</v>
      </c>
      <c r="M27" s="40">
        <f>'Modèle de base (CM 2003)'!M27</f>
        <v>0.45818507382926854</v>
      </c>
    </row>
    <row r="28" spans="1:13" x14ac:dyDescent="0.3">
      <c r="A28" s="78"/>
      <c r="C28" s="40">
        <f>'Modèle de base (CM 2003)'!C28</f>
        <v>0</v>
      </c>
      <c r="D28" s="40">
        <f>'Modèle de base (CM 2003)'!D28</f>
        <v>0</v>
      </c>
      <c r="E28" s="40">
        <f>'Modèle de base (CM 2003)'!E28</f>
        <v>0</v>
      </c>
      <c r="F28" s="40">
        <f>'Modèle de base (CM 2003)'!F28</f>
        <v>0</v>
      </c>
      <c r="G28" s="40">
        <f>'Modèle de base (CM 2003)'!G28</f>
        <v>0</v>
      </c>
      <c r="H28" s="40">
        <f>'Modèle de base (CM 2003)'!H28</f>
        <v>0</v>
      </c>
      <c r="I28" s="40">
        <f>'Modèle de base (CM 2003)'!I28</f>
        <v>0</v>
      </c>
      <c r="J28" s="40">
        <f>'Modèle de base (CM 2003)'!J28</f>
        <v>0</v>
      </c>
      <c r="K28" s="40">
        <f>'Modèle de base (CM 2003)'!K28</f>
        <v>0</v>
      </c>
      <c r="L28" s="40">
        <f>'Modèle de base (CM 2003)'!L28</f>
        <v>0</v>
      </c>
      <c r="M28" s="40">
        <f>'Modèle de base (CM 2003)'!M28</f>
        <v>0</v>
      </c>
    </row>
    <row r="29" spans="1:13" ht="16.2" x14ac:dyDescent="0.3">
      <c r="A29" s="78" t="s">
        <v>115</v>
      </c>
      <c r="B29">
        <v>6000</v>
      </c>
      <c r="C29" s="40">
        <f>B$29*C$32</f>
        <v>139200</v>
      </c>
      <c r="D29" s="40">
        <f>'Modèle de base (CM 2003)'!D29</f>
        <v>0</v>
      </c>
      <c r="E29" s="40">
        <f>'Modèle de base (CM 2003)'!E29</f>
        <v>0</v>
      </c>
      <c r="F29" s="40">
        <f>'Modèle de base (CM 2003)'!F29</f>
        <v>0</v>
      </c>
      <c r="G29" s="40">
        <f>'Modèle de base (CM 2003)'!G29</f>
        <v>0</v>
      </c>
      <c r="H29" s="40">
        <f>'Modèle de base (CM 2003)'!H29</f>
        <v>0</v>
      </c>
      <c r="I29" s="40">
        <f>'Modèle de base (CM 2003)'!I29</f>
        <v>0</v>
      </c>
      <c r="J29" s="40">
        <f>'Modèle de base (CM 2003)'!J29</f>
        <v>0</v>
      </c>
      <c r="K29" s="40">
        <f>'Modèle de base (CM 2003)'!K29</f>
        <v>0</v>
      </c>
      <c r="L29" s="40">
        <f>'Modèle de base (CM 2003)'!L29</f>
        <v>0</v>
      </c>
      <c r="M29" s="40">
        <f>'Modèle de base (CM 2003)'!M29</f>
        <v>0</v>
      </c>
    </row>
    <row r="30" spans="1:13" x14ac:dyDescent="0.3">
      <c r="A30" s="78"/>
      <c r="C30" s="40">
        <f>'Modèle de base (CM 2003)'!C30</f>
        <v>0</v>
      </c>
      <c r="D30" s="40">
        <f>'Modèle de base (CM 2003)'!D30</f>
        <v>0</v>
      </c>
      <c r="E30" s="40">
        <f>'Modèle de base (CM 2003)'!E30</f>
        <v>0</v>
      </c>
      <c r="F30" s="40">
        <f>'Modèle de base (CM 2003)'!F30</f>
        <v>0</v>
      </c>
      <c r="G30" s="40">
        <f>'Modèle de base (CM 2003)'!G30</f>
        <v>0</v>
      </c>
      <c r="H30" s="40">
        <f>'Modèle de base (CM 2003)'!H30</f>
        <v>0</v>
      </c>
      <c r="I30" s="40">
        <f>'Modèle de base (CM 2003)'!I30</f>
        <v>0</v>
      </c>
      <c r="J30" s="40">
        <f>'Modèle de base (CM 2003)'!J30</f>
        <v>0</v>
      </c>
      <c r="K30" s="40">
        <f>'Modèle de base (CM 2003)'!K30</f>
        <v>0</v>
      </c>
      <c r="L30" s="40">
        <f>'Modèle de base (CM 2003)'!L30</f>
        <v>0</v>
      </c>
      <c r="M30" s="40">
        <f>'Modèle de base (CM 2003)'!M30</f>
        <v>0</v>
      </c>
    </row>
    <row r="31" spans="1:13" x14ac:dyDescent="0.3">
      <c r="A31" s="78"/>
      <c r="C31" s="40">
        <f>'Modèle de base (CM 2003)'!C31</f>
        <v>0</v>
      </c>
      <c r="D31" s="40">
        <f>'Modèle de base (CM 2003)'!D31</f>
        <v>0</v>
      </c>
      <c r="E31" s="40">
        <f>'Modèle de base (CM 2003)'!E31</f>
        <v>0</v>
      </c>
      <c r="F31" s="40">
        <f>'Modèle de base (CM 2003)'!F31</f>
        <v>0</v>
      </c>
      <c r="G31" s="40">
        <f>'Modèle de base (CM 2003)'!G31</f>
        <v>0</v>
      </c>
      <c r="H31" s="40">
        <f>'Modèle de base (CM 2003)'!H31</f>
        <v>0</v>
      </c>
      <c r="I31" s="40">
        <f>'Modèle de base (CM 2003)'!I31</f>
        <v>0</v>
      </c>
      <c r="J31" s="40">
        <f>'Modèle de base (CM 2003)'!J31</f>
        <v>0</v>
      </c>
      <c r="K31" s="40">
        <f>'Modèle de base (CM 2003)'!K31</f>
        <v>0</v>
      </c>
      <c r="L31" s="40">
        <f>'Modèle de base (CM 2003)'!L31</f>
        <v>0</v>
      </c>
      <c r="M31" s="40">
        <f>'Modèle de base (CM 2003)'!M31</f>
        <v>0</v>
      </c>
    </row>
    <row r="32" spans="1:13" x14ac:dyDescent="0.3">
      <c r="A32" s="78" t="s">
        <v>30</v>
      </c>
      <c r="B32">
        <v>150</v>
      </c>
      <c r="C32" s="40">
        <f>'Modèle de base (CM 2003)'!C32</f>
        <v>23.2</v>
      </c>
      <c r="D32" s="40">
        <f>'Modèle de base (CM 2003)'!D32</f>
        <v>23.2</v>
      </c>
      <c r="E32" s="40">
        <f>'Modèle de base (CM 2003)'!E32</f>
        <v>23.2</v>
      </c>
      <c r="F32" s="40">
        <f>'Modèle de base (CM 2003)'!F32</f>
        <v>23.2</v>
      </c>
      <c r="G32" s="40">
        <f>'Modèle de base (CM 2003)'!G32</f>
        <v>23.2</v>
      </c>
      <c r="H32" s="40">
        <f>'Modèle de base (CM 2003)'!H32</f>
        <v>23.2</v>
      </c>
      <c r="I32" s="40">
        <f>'Modèle de base (CM 2003)'!I32</f>
        <v>23.2</v>
      </c>
      <c r="J32" s="40">
        <f>'Modèle de base (CM 2003)'!J32</f>
        <v>23.2</v>
      </c>
      <c r="K32" s="40">
        <f>'Modèle de base (CM 2003)'!K32</f>
        <v>23.2</v>
      </c>
      <c r="L32" s="40">
        <f>'Modèle de base (CM 2003)'!L32</f>
        <v>23.2</v>
      </c>
      <c r="M32" s="40">
        <f>'Modèle de base (CM 2003)'!M32</f>
        <v>23.2</v>
      </c>
    </row>
    <row r="33" spans="1:13" x14ac:dyDescent="0.3">
      <c r="A33" s="78" t="s">
        <v>20</v>
      </c>
      <c r="C33" s="40">
        <f>C$32*$B$32</f>
        <v>3480</v>
      </c>
      <c r="D33" s="40">
        <f t="shared" ref="D33:M33" si="5">D$32*$B$32</f>
        <v>3480</v>
      </c>
      <c r="E33" s="40">
        <f t="shared" si="5"/>
        <v>3480</v>
      </c>
      <c r="F33" s="40">
        <f t="shared" si="5"/>
        <v>3480</v>
      </c>
      <c r="G33" s="40">
        <f t="shared" si="5"/>
        <v>3480</v>
      </c>
      <c r="H33" s="40">
        <f t="shared" si="5"/>
        <v>3480</v>
      </c>
      <c r="I33" s="40">
        <f t="shared" si="5"/>
        <v>3480</v>
      </c>
      <c r="J33" s="40">
        <f t="shared" si="5"/>
        <v>3480</v>
      </c>
      <c r="K33" s="40">
        <f t="shared" si="5"/>
        <v>3480</v>
      </c>
      <c r="L33" s="40">
        <f t="shared" si="5"/>
        <v>3480</v>
      </c>
      <c r="M33" s="40">
        <f t="shared" si="5"/>
        <v>3480</v>
      </c>
    </row>
    <row r="34" spans="1:13" x14ac:dyDescent="0.3">
      <c r="A34" s="78"/>
      <c r="C34" s="40">
        <f>'Modèle de base (CM 2003)'!C34</f>
        <v>0</v>
      </c>
      <c r="D34" s="40">
        <f>'Modèle de base (CM 2003)'!D34</f>
        <v>0</v>
      </c>
      <c r="E34" s="40">
        <f>'Modèle de base (CM 2003)'!E34</f>
        <v>0</v>
      </c>
      <c r="F34" s="40">
        <f>'Modèle de base (CM 2003)'!F34</f>
        <v>0</v>
      </c>
      <c r="G34" s="40">
        <f>'Modèle de base (CM 2003)'!G34</f>
        <v>0</v>
      </c>
      <c r="H34" s="40">
        <f>'Modèle de base (CM 2003)'!H34</f>
        <v>0</v>
      </c>
      <c r="I34" s="40">
        <f>'Modèle de base (CM 2003)'!I34</f>
        <v>0</v>
      </c>
      <c r="J34" s="40">
        <f>'Modèle de base (CM 2003)'!J34</f>
        <v>0</v>
      </c>
      <c r="K34" s="40">
        <f>'Modèle de base (CM 2003)'!K34</f>
        <v>0</v>
      </c>
      <c r="L34" s="40">
        <f>'Modèle de base (CM 2003)'!L34</f>
        <v>0</v>
      </c>
      <c r="M34" s="40">
        <f>'Modèle de base (CM 2003)'!M34</f>
        <v>0</v>
      </c>
    </row>
    <row r="35" spans="1:13" x14ac:dyDescent="0.3">
      <c r="A35" s="78" t="s">
        <v>116</v>
      </c>
      <c r="C35" s="40">
        <f>'Modèle de base (CM 2003)'!C35</f>
        <v>0</v>
      </c>
      <c r="D35" s="40">
        <f>'Modèle de base (CM 2003)'!D35</f>
        <v>0</v>
      </c>
      <c r="E35" s="40">
        <f>'Modèle de base (CM 2003)'!E35</f>
        <v>0</v>
      </c>
      <c r="F35" s="40">
        <f>'Modèle de base (CM 2003)'!F35</f>
        <v>0</v>
      </c>
      <c r="G35" s="40">
        <f>'Modèle de base (CM 2003)'!G35</f>
        <v>0</v>
      </c>
      <c r="H35" s="40">
        <f>'Modèle de base (CM 2003)'!H35</f>
        <v>0</v>
      </c>
      <c r="I35" s="40">
        <f>'Modèle de base (CM 2003)'!I35</f>
        <v>0</v>
      </c>
      <c r="J35" s="40">
        <f>'Modèle de base (CM 2003)'!J35</f>
        <v>0</v>
      </c>
      <c r="K35" s="40">
        <f>'Modèle de base (CM 2003)'!K35</f>
        <v>0</v>
      </c>
      <c r="L35" s="40">
        <f>'Modèle de base (CM 2003)'!L35</f>
        <v>0</v>
      </c>
      <c r="M35" s="40">
        <f>'Modèle de base (CM 2003)'!M35</f>
        <v>0</v>
      </c>
    </row>
    <row r="36" spans="1:13" x14ac:dyDescent="0.3">
      <c r="A36" s="78" t="s">
        <v>117</v>
      </c>
      <c r="B36" s="36">
        <f>Q14</f>
        <v>0.04</v>
      </c>
      <c r="C36" s="40"/>
      <c r="D36" s="40">
        <f>'Modèle de base (CM 2003)'!D36</f>
        <v>0</v>
      </c>
      <c r="E36" s="49">
        <v>3.5000000000000003E-2</v>
      </c>
      <c r="F36" s="49">
        <v>3.5000000000000003E-2</v>
      </c>
      <c r="G36" s="49">
        <v>3.5000000000000003E-2</v>
      </c>
      <c r="H36" s="49">
        <v>3.5000000000000003E-2</v>
      </c>
      <c r="I36" s="49">
        <v>3.5000000000000003E-2</v>
      </c>
      <c r="J36" s="49">
        <v>3.5000000000000003E-2</v>
      </c>
      <c r="K36" s="49">
        <v>3.5000000000000003E-2</v>
      </c>
      <c r="L36" s="49">
        <v>3.5000000000000003E-2</v>
      </c>
      <c r="M36" s="49">
        <v>3.5000000000000003E-2</v>
      </c>
    </row>
    <row r="37" spans="1:13" x14ac:dyDescent="0.3">
      <c r="A37" s="78" t="s">
        <v>31</v>
      </c>
      <c r="C37" s="40">
        <f>$B$36*C$9</f>
        <v>0</v>
      </c>
      <c r="D37" s="40">
        <f t="shared" ref="D37:M37" si="6">$B$36*D$9</f>
        <v>0</v>
      </c>
      <c r="E37" s="40">
        <f t="shared" si="6"/>
        <v>9941152</v>
      </c>
      <c r="F37" s="40">
        <f t="shared" si="6"/>
        <v>11192376</v>
      </c>
      <c r="G37" s="40">
        <f t="shared" si="6"/>
        <v>9869964</v>
      </c>
      <c r="H37" s="40">
        <f t="shared" si="6"/>
        <v>8752900</v>
      </c>
      <c r="I37" s="40">
        <f t="shared" si="6"/>
        <v>10970492</v>
      </c>
      <c r="J37" s="40">
        <f t="shared" si="6"/>
        <v>8720400</v>
      </c>
      <c r="K37" s="40">
        <f t="shared" si="6"/>
        <v>7113548</v>
      </c>
      <c r="L37" s="40">
        <f t="shared" si="6"/>
        <v>7945496</v>
      </c>
      <c r="M37" s="40">
        <f t="shared" si="6"/>
        <v>6207240</v>
      </c>
    </row>
    <row r="38" spans="1:13" x14ac:dyDescent="0.3">
      <c r="A38" s="78"/>
      <c r="C38" s="40">
        <f>'Modèle de base (CM 2003)'!C38</f>
        <v>0</v>
      </c>
      <c r="D38" s="40">
        <f>'Modèle de base (CM 2003)'!D38</f>
        <v>0</v>
      </c>
      <c r="E38" s="40">
        <f>'Modèle de base (CM 2003)'!E38</f>
        <v>0</v>
      </c>
      <c r="F38" s="40">
        <f>'Modèle de base (CM 2003)'!F38</f>
        <v>0</v>
      </c>
      <c r="G38" s="40">
        <f>'Modèle de base (CM 2003)'!G38</f>
        <v>0</v>
      </c>
      <c r="H38" s="40">
        <f>'Modèle de base (CM 2003)'!H38</f>
        <v>0</v>
      </c>
      <c r="I38" s="40">
        <f>'Modèle de base (CM 2003)'!I38</f>
        <v>0</v>
      </c>
      <c r="J38" s="40">
        <f>'Modèle de base (CM 2003)'!J38</f>
        <v>0</v>
      </c>
      <c r="K38" s="40">
        <f>'Modèle de base (CM 2003)'!K38</f>
        <v>0</v>
      </c>
      <c r="L38" s="40">
        <f>'Modèle de base (CM 2003)'!L38</f>
        <v>0</v>
      </c>
      <c r="M38" s="40">
        <f>'Modèle de base (CM 2003)'!M38</f>
        <v>0</v>
      </c>
    </row>
    <row r="39" spans="1:13" x14ac:dyDescent="0.3">
      <c r="A39" s="78" t="s">
        <v>34</v>
      </c>
      <c r="C39" s="40">
        <f>'Modèle de base (CM 2003)'!C39</f>
        <v>14450237.300000001</v>
      </c>
      <c r="D39" s="40">
        <f>'Modèle de base (CM 2003)'!D39</f>
        <v>72391494.580000013</v>
      </c>
      <c r="E39" s="40">
        <f>'Modèle de base (CM 2003)'!E39</f>
        <v>54722765.508000001</v>
      </c>
      <c r="F39" s="40">
        <f>'Modèle de base (CM 2003)'!F39</f>
        <v>41469139.447999999</v>
      </c>
      <c r="G39" s="40">
        <f>'Modèle de base (CM 2003)'!G39</f>
        <v>42554950.707999997</v>
      </c>
      <c r="H39" s="40">
        <f>'Modèle de base (CM 2003)'!H39</f>
        <v>38090104.267999992</v>
      </c>
      <c r="I39" s="40">
        <f>'Modèle de base (CM 2003)'!I39</f>
        <v>22807098.419999998</v>
      </c>
      <c r="J39" s="40">
        <f>'Modèle de base (CM 2003)'!J39</f>
        <v>20561889.611999996</v>
      </c>
      <c r="K39" s="40">
        <f>'Modèle de base (CM 2003)'!K39</f>
        <v>21590650.807999998</v>
      </c>
      <c r="L39" s="40">
        <f>'Modèle de base (CM 2003)'!L39</f>
        <v>20344454.923999999</v>
      </c>
      <c r="M39" s="40">
        <f>'Modèle de base (CM 2003)'!M39</f>
        <v>15427244.423999999</v>
      </c>
    </row>
    <row r="40" spans="1:13" x14ac:dyDescent="0.3">
      <c r="A40" s="78" t="s">
        <v>118</v>
      </c>
      <c r="B40" s="19">
        <v>0.01</v>
      </c>
      <c r="C40" s="40">
        <f>C9*$B$40</f>
        <v>0</v>
      </c>
      <c r="D40" s="40">
        <f t="shared" ref="D40:M40" si="7">D9*$B$40</f>
        <v>0</v>
      </c>
      <c r="E40" s="40">
        <f t="shared" si="7"/>
        <v>2485288</v>
      </c>
      <c r="F40" s="40">
        <f t="shared" si="7"/>
        <v>2798094</v>
      </c>
      <c r="G40" s="40">
        <f t="shared" si="7"/>
        <v>2467491</v>
      </c>
      <c r="H40" s="40">
        <f t="shared" si="7"/>
        <v>2188225</v>
      </c>
      <c r="I40" s="40">
        <f t="shared" si="7"/>
        <v>2742623</v>
      </c>
      <c r="J40" s="40">
        <f t="shared" si="7"/>
        <v>2180100</v>
      </c>
      <c r="K40" s="40">
        <f t="shared" si="7"/>
        <v>1778387</v>
      </c>
      <c r="L40" s="40">
        <f t="shared" si="7"/>
        <v>1986374</v>
      </c>
      <c r="M40" s="40">
        <f t="shared" si="7"/>
        <v>1551810</v>
      </c>
    </row>
    <row r="41" spans="1:13" x14ac:dyDescent="0.3">
      <c r="A41" s="78"/>
      <c r="C41" s="40">
        <f>'Modèle de base (CM 2003)'!C40</f>
        <v>0</v>
      </c>
      <c r="D41" s="40">
        <f>'Modèle de base (CM 2003)'!D40</f>
        <v>0</v>
      </c>
      <c r="E41" s="40">
        <f>'Modèle de base (CM 2003)'!E40</f>
        <v>0</v>
      </c>
      <c r="F41" s="40">
        <f>'Modèle de base (CM 2003)'!F40</f>
        <v>0</v>
      </c>
      <c r="G41" s="40">
        <f>'Modèle de base (CM 2003)'!G40</f>
        <v>0</v>
      </c>
      <c r="H41" s="40">
        <f>'Modèle de base (CM 2003)'!H40</f>
        <v>0</v>
      </c>
      <c r="I41" s="40">
        <f>'Modèle de base (CM 2003)'!I40</f>
        <v>0</v>
      </c>
      <c r="J41" s="40">
        <f>'Modèle de base (CM 2003)'!J40</f>
        <v>0</v>
      </c>
      <c r="K41" s="40">
        <f>'Modèle de base (CM 2003)'!K40</f>
        <v>0</v>
      </c>
      <c r="L41" s="40">
        <f>'Modèle de base (CM 2003)'!L40</f>
        <v>0</v>
      </c>
      <c r="M41" s="40">
        <f>'Modèle de base (CM 2003)'!M40</f>
        <v>0</v>
      </c>
    </row>
    <row r="42" spans="1:13" x14ac:dyDescent="0.3">
      <c r="A42" s="78" t="s">
        <v>21</v>
      </c>
      <c r="C42" s="40">
        <f>C9-(C$23+C$29+C$33+C$37+C$39)</f>
        <v>-88038709.299999997</v>
      </c>
      <c r="D42" s="40">
        <f t="shared" ref="D42:M42" si="8">D9-(D$23+D$29+D$33+D$37+D$39)</f>
        <v>-313802791.58000004</v>
      </c>
      <c r="E42" s="40">
        <f t="shared" si="8"/>
        <v>52134647.491999984</v>
      </c>
      <c r="F42" s="40">
        <f t="shared" si="8"/>
        <v>88879206.551999986</v>
      </c>
      <c r="G42" s="40">
        <f t="shared" si="8"/>
        <v>41336243.291999996</v>
      </c>
      <c r="H42" s="40">
        <f t="shared" si="8"/>
        <v>8721148.7319999933</v>
      </c>
      <c r="I42" s="40">
        <f t="shared" si="8"/>
        <v>76223572.580000013</v>
      </c>
      <c r="J42" s="40">
        <f t="shared" si="8"/>
        <v>48672826.388000011</v>
      </c>
      <c r="K42" s="40">
        <f t="shared" si="8"/>
        <v>34860748.192000002</v>
      </c>
      <c r="L42" s="40">
        <f t="shared" si="8"/>
        <v>69284653.076000005</v>
      </c>
      <c r="M42" s="40">
        <f t="shared" si="8"/>
        <v>120292083.57600001</v>
      </c>
    </row>
    <row r="43" spans="1:13" x14ac:dyDescent="0.3">
      <c r="A43" s="78" t="s">
        <v>22</v>
      </c>
      <c r="B43" s="19">
        <f>Q13</f>
        <v>0.27500000000000002</v>
      </c>
      <c r="C43" s="40">
        <f>'Modèle de base (CM 2003)'!C42</f>
        <v>0</v>
      </c>
      <c r="D43" s="40">
        <f>'Modèle de base (CM 2003)'!D42</f>
        <v>0</v>
      </c>
      <c r="E43" s="50">
        <v>0.3</v>
      </c>
      <c r="F43" s="50">
        <v>0.3</v>
      </c>
      <c r="G43" s="50">
        <v>0.3</v>
      </c>
      <c r="H43" s="50">
        <v>0.3</v>
      </c>
      <c r="I43" s="50">
        <v>0.3</v>
      </c>
      <c r="J43" s="50">
        <v>0.3</v>
      </c>
      <c r="K43" s="50">
        <v>0.3</v>
      </c>
      <c r="L43" s="50">
        <v>0.3</v>
      </c>
      <c r="M43" s="50">
        <v>0.3</v>
      </c>
    </row>
    <row r="44" spans="1:13" x14ac:dyDescent="0.3">
      <c r="A44" s="78" t="s">
        <v>23</v>
      </c>
      <c r="C44" s="40">
        <f>'Modèle de base (CM 2003)'!C43</f>
        <v>0</v>
      </c>
      <c r="D44" s="40">
        <f>'Modèle de base (CM 2003)'!D43</f>
        <v>0</v>
      </c>
      <c r="E44" s="40">
        <f>'Modèle de base (CM 2003)'!E43</f>
        <v>0</v>
      </c>
      <c r="F44" s="40">
        <f>'Modèle de base (CM 2003)'!F43</f>
        <v>0</v>
      </c>
      <c r="G44" s="40">
        <f>'Modèle de base (CM 2003)'!G43</f>
        <v>0</v>
      </c>
      <c r="H44" s="40">
        <f>'Modèle de base (CM 2003)'!H43</f>
        <v>0</v>
      </c>
      <c r="I44" s="40">
        <f>'Modèle de base (CM 2003)'!I43</f>
        <v>0</v>
      </c>
      <c r="J44" s="40">
        <f>'Modèle de base (CM 2003)'!J43</f>
        <v>1341600</v>
      </c>
      <c r="K44" s="40">
        <f>'Modèle de base (CM 2003)'!K43</f>
        <v>1094392</v>
      </c>
      <c r="L44" s="40">
        <f>'Modèle de base (CM 2003)'!L43</f>
        <v>1222384</v>
      </c>
      <c r="M44" s="40">
        <f>'Modèle de base (CM 2003)'!M43</f>
        <v>954960</v>
      </c>
    </row>
    <row r="45" spans="1:13" x14ac:dyDescent="0.3">
      <c r="A45" s="78" t="s">
        <v>24</v>
      </c>
      <c r="C45" s="40">
        <f>IF($B$43*C$42&gt;C$44,C$42*$B$43,0)</f>
        <v>0</v>
      </c>
      <c r="D45" s="40">
        <f t="shared" ref="D45:M45" si="9">IF($B$43*D$42&gt;D$44,D$42*$B$43,0)</f>
        <v>0</v>
      </c>
      <c r="E45" s="40">
        <f t="shared" si="9"/>
        <v>14337028.060299996</v>
      </c>
      <c r="F45" s="40">
        <f t="shared" si="9"/>
        <v>24441781.801799998</v>
      </c>
      <c r="G45" s="40">
        <f t="shared" si="9"/>
        <v>11367466.905299999</v>
      </c>
      <c r="H45" s="40">
        <f t="shared" si="9"/>
        <v>2398315.9012999982</v>
      </c>
      <c r="I45" s="40">
        <f t="shared" si="9"/>
        <v>20961482.459500004</v>
      </c>
      <c r="J45" s="40">
        <f t="shared" si="9"/>
        <v>13385027.256700004</v>
      </c>
      <c r="K45" s="40">
        <f t="shared" si="9"/>
        <v>9586705.7528000008</v>
      </c>
      <c r="L45" s="40">
        <f t="shared" si="9"/>
        <v>19053279.595900003</v>
      </c>
      <c r="M45" s="40">
        <f t="shared" si="9"/>
        <v>33080322.983400006</v>
      </c>
    </row>
    <row r="46" spans="1:13" x14ac:dyDescent="0.3">
      <c r="A46" s="78"/>
      <c r="C46" s="40">
        <f>'Modèle de base (CM 2003)'!C45</f>
        <v>0</v>
      </c>
      <c r="D46" s="40">
        <f>'Modèle de base (CM 2003)'!D45</f>
        <v>0</v>
      </c>
      <c r="E46" s="40">
        <f>'Modèle de base (CM 2003)'!E45</f>
        <v>0</v>
      </c>
      <c r="F46" s="40">
        <f>'Modèle de base (CM 2003)'!F45</f>
        <v>0</v>
      </c>
      <c r="G46" s="40">
        <f>'Modèle de base (CM 2003)'!G45</f>
        <v>0</v>
      </c>
      <c r="H46" s="40">
        <f>'Modèle de base (CM 2003)'!H45</f>
        <v>0</v>
      </c>
      <c r="I46" s="40">
        <f>'Modèle de base (CM 2003)'!I45</f>
        <v>0</v>
      </c>
      <c r="J46" s="40">
        <f>'Modèle de base (CM 2003)'!J45</f>
        <v>0</v>
      </c>
      <c r="K46" s="40">
        <f>'Modèle de base (CM 2003)'!K45</f>
        <v>0</v>
      </c>
      <c r="L46" s="40">
        <f>'Modèle de base (CM 2003)'!L45</f>
        <v>0</v>
      </c>
      <c r="M46" s="40">
        <f>'Modèle de base (CM 2003)'!M45</f>
        <v>0</v>
      </c>
    </row>
    <row r="47" spans="1:13" x14ac:dyDescent="0.3">
      <c r="A47" s="78" t="s">
        <v>37</v>
      </c>
      <c r="C47" s="40">
        <f>C$42-C$45</f>
        <v>-88038709.299999997</v>
      </c>
      <c r="D47" s="40">
        <f t="shared" ref="D47:M47" si="10">D$42-D$45</f>
        <v>-313802791.58000004</v>
      </c>
      <c r="E47" s="40">
        <f t="shared" si="10"/>
        <v>37797619.431699991</v>
      </c>
      <c r="F47" s="40">
        <f t="shared" si="10"/>
        <v>64437424.750199988</v>
      </c>
      <c r="G47" s="40">
        <f t="shared" si="10"/>
        <v>29968776.386699997</v>
      </c>
      <c r="H47" s="40">
        <f t="shared" si="10"/>
        <v>6322832.8306999952</v>
      </c>
      <c r="I47" s="40">
        <f t="shared" si="10"/>
        <v>55262090.120500013</v>
      </c>
      <c r="J47" s="40">
        <f t="shared" si="10"/>
        <v>35287799.13130001</v>
      </c>
      <c r="K47" s="40">
        <f t="shared" si="10"/>
        <v>25274042.439199999</v>
      </c>
      <c r="L47" s="40">
        <f t="shared" si="10"/>
        <v>50231373.480100006</v>
      </c>
      <c r="M47" s="40">
        <f t="shared" si="10"/>
        <v>87211760.592600003</v>
      </c>
    </row>
    <row r="48" spans="1:13" x14ac:dyDescent="0.3">
      <c r="A48" s="80" t="s">
        <v>38</v>
      </c>
      <c r="B48" s="19">
        <v>0.1</v>
      </c>
      <c r="C48" s="40">
        <f>'Modèle de base (CM 2003)'!C47</f>
        <v>0</v>
      </c>
      <c r="D48" s="40">
        <f>'Modèle de base (CM 2003)'!D47</f>
        <v>0</v>
      </c>
      <c r="E48" s="40">
        <f>'Modèle de base (CM 2003)'!E47</f>
        <v>0</v>
      </c>
      <c r="F48" s="40">
        <f>'Modèle de base (CM 2003)'!F47</f>
        <v>0</v>
      </c>
      <c r="G48" s="40">
        <f>'Modèle de base (CM 2003)'!G47</f>
        <v>0</v>
      </c>
      <c r="H48" s="40">
        <f>'Modèle de base (CM 2003)'!H47</f>
        <v>0</v>
      </c>
      <c r="I48" s="40">
        <f>'Modèle de base (CM 2003)'!I47</f>
        <v>0</v>
      </c>
      <c r="J48" s="40">
        <f>'Modèle de base (CM 2003)'!J47</f>
        <v>0</v>
      </c>
      <c r="K48" s="40">
        <f>'Modèle de base (CM 2003)'!K47</f>
        <v>0</v>
      </c>
      <c r="L48" s="40">
        <f>'Modèle de base (CM 2003)'!L47</f>
        <v>0</v>
      </c>
      <c r="M48" s="40">
        <f>'Modèle de base (CM 2003)'!M47</f>
        <v>0</v>
      </c>
    </row>
    <row r="49" spans="1:13" x14ac:dyDescent="0.3">
      <c r="A49" s="80" t="s">
        <v>39</v>
      </c>
      <c r="C49" s="40">
        <f>IF(C47&gt;0,C47*$B$48,0)</f>
        <v>0</v>
      </c>
      <c r="D49" s="40">
        <f t="shared" ref="D49:M49" si="11">IF(D47&gt;0,D47*$B$48,0)</f>
        <v>0</v>
      </c>
      <c r="E49" s="40">
        <f t="shared" si="11"/>
        <v>3779761.9431699994</v>
      </c>
      <c r="F49" s="40">
        <f t="shared" si="11"/>
        <v>6443742.4750199988</v>
      </c>
      <c r="G49" s="40">
        <f t="shared" si="11"/>
        <v>2996877.6386699998</v>
      </c>
      <c r="H49" s="40">
        <f t="shared" si="11"/>
        <v>632283.28306999954</v>
      </c>
      <c r="I49" s="40">
        <f t="shared" si="11"/>
        <v>5526209.0120500019</v>
      </c>
      <c r="J49" s="40">
        <f t="shared" si="11"/>
        <v>3528779.9131300012</v>
      </c>
      <c r="K49" s="40">
        <f t="shared" si="11"/>
        <v>2527404.2439200003</v>
      </c>
      <c r="L49" s="40">
        <f t="shared" si="11"/>
        <v>5023137.3480100008</v>
      </c>
      <c r="M49" s="40">
        <f t="shared" si="11"/>
        <v>8721176.0592600014</v>
      </c>
    </row>
    <row r="50" spans="1:13" x14ac:dyDescent="0.3">
      <c r="A50" s="80" t="s">
        <v>40</v>
      </c>
      <c r="C50" s="40">
        <f>C$47-C$49</f>
        <v>-88038709.299999997</v>
      </c>
      <c r="D50" s="40">
        <f t="shared" ref="D50:M50" si="12">D$47-D$49</f>
        <v>-313802791.58000004</v>
      </c>
      <c r="E50" s="40">
        <f t="shared" si="12"/>
        <v>34017857.488529995</v>
      </c>
      <c r="F50" s="40">
        <f t="shared" si="12"/>
        <v>57993682.27517999</v>
      </c>
      <c r="G50" s="40">
        <f t="shared" si="12"/>
        <v>26971898.748029996</v>
      </c>
      <c r="H50" s="40">
        <f t="shared" si="12"/>
        <v>5690549.5476299953</v>
      </c>
      <c r="I50" s="40">
        <f t="shared" si="12"/>
        <v>49735881.10845001</v>
      </c>
      <c r="J50" s="40">
        <f t="shared" si="12"/>
        <v>31759019.21817001</v>
      </c>
      <c r="K50" s="40">
        <f t="shared" si="12"/>
        <v>22746638.195280001</v>
      </c>
      <c r="L50" s="40">
        <f t="shared" si="12"/>
        <v>45208236.132090002</v>
      </c>
      <c r="M50" s="40">
        <f t="shared" si="12"/>
        <v>78490584.533340007</v>
      </c>
    </row>
    <row r="51" spans="1:13" x14ac:dyDescent="0.3">
      <c r="A51" s="80" t="s">
        <v>41</v>
      </c>
      <c r="B51" s="46">
        <f>10%</f>
        <v>0.1</v>
      </c>
      <c r="C51" s="40">
        <f>IF(C50&gt;0,C50*$B$51,0)</f>
        <v>0</v>
      </c>
      <c r="D51" s="40">
        <f t="shared" ref="D51:M51" si="13">IF(D50&gt;0,D50*$B$51,0)</f>
        <v>0</v>
      </c>
      <c r="E51" s="40">
        <f t="shared" si="13"/>
        <v>3401785.7488529999</v>
      </c>
      <c r="F51" s="40">
        <f t="shared" si="13"/>
        <v>5799368.2275179997</v>
      </c>
      <c r="G51" s="40">
        <f t="shared" si="13"/>
        <v>2697189.8748029997</v>
      </c>
      <c r="H51" s="40">
        <f t="shared" si="13"/>
        <v>569054.95476299955</v>
      </c>
      <c r="I51" s="40">
        <f t="shared" si="13"/>
        <v>4973588.1108450014</v>
      </c>
      <c r="J51" s="40">
        <f t="shared" si="13"/>
        <v>3175901.921817001</v>
      </c>
      <c r="K51" s="40">
        <f t="shared" si="13"/>
        <v>2274663.819528</v>
      </c>
      <c r="L51" s="40">
        <f t="shared" si="13"/>
        <v>4520823.6132090008</v>
      </c>
      <c r="M51" s="40">
        <f t="shared" si="13"/>
        <v>7849058.4533340009</v>
      </c>
    </row>
    <row r="52" spans="1:13" x14ac:dyDescent="0.3">
      <c r="A52" s="80"/>
      <c r="C52" s="40">
        <f>'Modèle de base (CM 2003)'!C51</f>
        <v>0</v>
      </c>
      <c r="D52" s="40">
        <f>'Modèle de base (CM 2003)'!D51</f>
        <v>0</v>
      </c>
      <c r="E52" s="40">
        <f>'Modèle de base (CM 2003)'!E51</f>
        <v>0</v>
      </c>
      <c r="F52" s="40">
        <f>'Modèle de base (CM 2003)'!F51</f>
        <v>0</v>
      </c>
      <c r="G52" s="40">
        <f>'Modèle de base (CM 2003)'!G51</f>
        <v>0</v>
      </c>
      <c r="H52" s="40">
        <f>'Modèle de base (CM 2003)'!H51</f>
        <v>0</v>
      </c>
      <c r="I52" s="40">
        <f>'Modèle de base (CM 2003)'!I51</f>
        <v>0</v>
      </c>
      <c r="J52" s="40">
        <f>'Modèle de base (CM 2003)'!J51</f>
        <v>0</v>
      </c>
      <c r="K52" s="40">
        <f>'Modèle de base (CM 2003)'!K51</f>
        <v>0</v>
      </c>
      <c r="L52" s="40">
        <f>'Modèle de base (CM 2003)'!L51</f>
        <v>0</v>
      </c>
      <c r="M52" s="40">
        <f>'Modèle de base (CM 2003)'!M51</f>
        <v>0</v>
      </c>
    </row>
    <row r="53" spans="1:13" x14ac:dyDescent="0.3">
      <c r="A53" s="78"/>
      <c r="C53" s="40">
        <f>'Modèle de base (CM 2003)'!C52</f>
        <v>0</v>
      </c>
      <c r="D53" s="40">
        <f>'Modèle de base (CM 2003)'!D52</f>
        <v>0</v>
      </c>
      <c r="E53" s="40">
        <f>'Modèle de base (CM 2003)'!E52</f>
        <v>0</v>
      </c>
      <c r="F53" s="40">
        <f>'Modèle de base (CM 2003)'!F52</f>
        <v>0</v>
      </c>
      <c r="G53" s="40">
        <f>'Modèle de base (CM 2003)'!G52</f>
        <v>0</v>
      </c>
      <c r="H53" s="40">
        <f>'Modèle de base (CM 2003)'!H52</f>
        <v>0</v>
      </c>
      <c r="I53" s="40">
        <f>'Modèle de base (CM 2003)'!I52</f>
        <v>0</v>
      </c>
      <c r="J53" s="40">
        <f>'Modèle de base (CM 2003)'!J52</f>
        <v>0</v>
      </c>
      <c r="K53" s="40">
        <f>'Modèle de base (CM 2003)'!K52</f>
        <v>0</v>
      </c>
      <c r="L53" s="40">
        <f>'Modèle de base (CM 2003)'!L52</f>
        <v>0</v>
      </c>
      <c r="M53" s="40">
        <f>'Modèle de base (CM 2003)'!M52</f>
        <v>0</v>
      </c>
    </row>
    <row r="54" spans="1:13" ht="15" thickBot="1" x14ac:dyDescent="0.35">
      <c r="A54" s="81" t="s">
        <v>42</v>
      </c>
      <c r="C54" s="40">
        <f>C$29+C$33+C$37+C$40+C$45+C$49+C$51</f>
        <v>142680</v>
      </c>
      <c r="D54" s="40">
        <f t="shared" ref="D54:M54" si="14">D$29+D$33+D$37+D$40+D$45+D$49+D$51</f>
        <v>3480</v>
      </c>
      <c r="E54" s="40">
        <f t="shared" si="14"/>
        <v>33948495.752322994</v>
      </c>
      <c r="F54" s="40">
        <f t="shared" si="14"/>
        <v>50678842.504337996</v>
      </c>
      <c r="G54" s="40">
        <f t="shared" si="14"/>
        <v>29402469.418772999</v>
      </c>
      <c r="H54" s="40">
        <f t="shared" si="14"/>
        <v>14544259.139132997</v>
      </c>
      <c r="I54" s="40">
        <f t="shared" si="14"/>
        <v>45177874.582395002</v>
      </c>
      <c r="J54" s="40">
        <f t="shared" si="14"/>
        <v>30993689.091647003</v>
      </c>
      <c r="K54" s="40">
        <f t="shared" si="14"/>
        <v>23284188.816248</v>
      </c>
      <c r="L54" s="40">
        <f t="shared" si="14"/>
        <v>38532590.557119004</v>
      </c>
      <c r="M54" s="40">
        <f t="shared" si="14"/>
        <v>57413087.495994009</v>
      </c>
    </row>
    <row r="55" spans="1:13" x14ac:dyDescent="0.3">
      <c r="A55" s="78" t="s">
        <v>25</v>
      </c>
      <c r="C55" s="40">
        <f>C$25-C$54</f>
        <v>-73588472</v>
      </c>
      <c r="D55" s="40">
        <f t="shared" ref="D55:M55" si="15">D$25-D$54</f>
        <v>-241411297</v>
      </c>
      <c r="E55" s="40">
        <f t="shared" si="15"/>
        <v>82853549.247676998</v>
      </c>
      <c r="F55" s="40">
        <f t="shared" si="15"/>
        <v>90865359.495662004</v>
      </c>
      <c r="G55" s="40">
        <f t="shared" si="15"/>
        <v>64362168.581227005</v>
      </c>
      <c r="H55" s="40">
        <f t="shared" si="15"/>
        <v>41023373.860867001</v>
      </c>
      <c r="I55" s="40">
        <f t="shared" si="15"/>
        <v>64826768.417604998</v>
      </c>
      <c r="J55" s="40">
        <f t="shared" si="15"/>
        <v>46964906.908353001</v>
      </c>
      <c r="K55" s="40">
        <f t="shared" si="15"/>
        <v>40284238.183752</v>
      </c>
      <c r="L55" s="40">
        <f t="shared" si="15"/>
        <v>59045493.442880996</v>
      </c>
      <c r="M55" s="40">
        <f t="shared" si="15"/>
        <v>84516960.504005998</v>
      </c>
    </row>
    <row r="56" spans="1:13" x14ac:dyDescent="0.3">
      <c r="A56" s="78" t="s">
        <v>26</v>
      </c>
      <c r="C56" s="48">
        <f>NPV($B$11,C55:M55)</f>
        <v>173084195.28368658</v>
      </c>
      <c r="D56" s="40">
        <f>'Modèle de base (CM 2003)'!D55</f>
        <v>0</v>
      </c>
      <c r="E56" s="40">
        <f>'Modèle de base (CM 2003)'!E55</f>
        <v>0</v>
      </c>
      <c r="F56" s="40">
        <f>'Modèle de base (CM 2003)'!F55</f>
        <v>0</v>
      </c>
      <c r="G56" s="40">
        <f>'Modèle de base (CM 2003)'!G55</f>
        <v>0</v>
      </c>
      <c r="H56" s="40">
        <f>'Modèle de base (CM 2003)'!H55</f>
        <v>0</v>
      </c>
      <c r="I56" s="40">
        <f>'Modèle de base (CM 2003)'!I55</f>
        <v>0</v>
      </c>
      <c r="J56" s="40">
        <f>'Modèle de base (CM 2003)'!J55</f>
        <v>0</v>
      </c>
      <c r="K56" s="40">
        <f>'Modèle de base (CM 2003)'!K55</f>
        <v>0</v>
      </c>
      <c r="L56" s="40">
        <f>'Modèle de base (CM 2003)'!L55</f>
        <v>0</v>
      </c>
      <c r="M56" s="40">
        <f>'Modèle de base (CM 2003)'!M55</f>
        <v>0</v>
      </c>
    </row>
    <row r="57" spans="1:13" x14ac:dyDescent="0.3">
      <c r="A57" s="78" t="s">
        <v>27</v>
      </c>
      <c r="C57" s="45">
        <f>1-(C56/C26)</f>
        <v>0.60307137582120496</v>
      </c>
      <c r="D57" s="40">
        <f>'Modèle de base (CM 2003)'!D56</f>
        <v>0</v>
      </c>
      <c r="E57" s="40">
        <f>'Modèle de base (CM 2003)'!E56</f>
        <v>0</v>
      </c>
      <c r="F57" s="40">
        <f>'Modèle de base (CM 2003)'!F56</f>
        <v>0</v>
      </c>
      <c r="G57" s="40">
        <f>'Modèle de base (CM 2003)'!G56</f>
        <v>0</v>
      </c>
      <c r="H57" s="40">
        <f>'Modèle de base (CM 2003)'!H56</f>
        <v>0</v>
      </c>
      <c r="I57" s="40">
        <f>'Modèle de base (CM 2003)'!I56</f>
        <v>0</v>
      </c>
      <c r="J57" s="40">
        <f>'Modèle de base (CM 2003)'!J56</f>
        <v>0</v>
      </c>
      <c r="K57" s="40">
        <f>'Modèle de base (CM 2003)'!K56</f>
        <v>0</v>
      </c>
      <c r="L57" s="40">
        <f>'Modèle de base (CM 2003)'!L56</f>
        <v>0</v>
      </c>
      <c r="M57" s="40">
        <f>'Modèle de base (CM 2003)'!M56</f>
        <v>0</v>
      </c>
    </row>
    <row r="58" spans="1:13" x14ac:dyDescent="0.3">
      <c r="A58" s="78" t="s">
        <v>28</v>
      </c>
      <c r="C58" s="45">
        <f>IRR(C55:M55)</f>
        <v>0.14247930695575795</v>
      </c>
      <c r="D58" s="40">
        <f>'Modèle de base (CM 2003)'!D57</f>
        <v>0</v>
      </c>
      <c r="E58" s="40">
        <f>'Modèle de base (CM 2003)'!E57</f>
        <v>0</v>
      </c>
      <c r="F58" s="40">
        <f>'Modèle de base (CM 2003)'!F57</f>
        <v>-0.14925550203122595</v>
      </c>
      <c r="G58" s="40">
        <f>'Modèle de base (CM 2003)'!G57</f>
        <v>2.4126629486718176E-2</v>
      </c>
      <c r="H58" s="40">
        <f>'Modèle de base (CM 2003)'!H57</f>
        <v>0.10169092418588854</v>
      </c>
      <c r="I58" s="40">
        <f>'Modèle de base (CM 2003)'!I57</f>
        <v>0.17018121739632086</v>
      </c>
      <c r="J58" s="40">
        <f>'Modèle de base (CM 2003)'!J57</f>
        <v>0.20296263467627296</v>
      </c>
      <c r="K58" s="40">
        <f>'Modèle de base (CM 2003)'!K57</f>
        <v>0.22211529997727708</v>
      </c>
      <c r="L58" s="40">
        <f>'Modèle de base (CM 2003)'!L57</f>
        <v>0.2398636336929989</v>
      </c>
      <c r="M58" s="40">
        <f>'Modèle de base (CM 2003)'!M57</f>
        <v>0.2547241970984051</v>
      </c>
    </row>
    <row r="59" spans="1:13" x14ac:dyDescent="0.3">
      <c r="A59" s="78" t="s">
        <v>40</v>
      </c>
      <c r="C59" s="36">
        <f>1-C57</f>
        <v>0.39692862417879504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C985-ABB9-4C35-96B9-F27EBFD1012D}">
  <sheetPr>
    <tabColor rgb="FF00B050"/>
  </sheetPr>
  <dimension ref="A1:M125"/>
  <sheetViews>
    <sheetView workbookViewId="0">
      <pane xSplit="2" topLeftCell="D1" activePane="topRight" state="frozen"/>
      <selection pane="topRight" activeCell="C57" sqref="C57"/>
    </sheetView>
  </sheetViews>
  <sheetFormatPr baseColWidth="10" defaultColWidth="11.5546875" defaultRowHeight="13.8" x14ac:dyDescent="0.25"/>
  <cols>
    <col min="1" max="1" width="41.88671875" style="1" bestFit="1" customWidth="1"/>
    <col min="2" max="2" width="25.109375" style="1" hidden="1" customWidth="1"/>
    <col min="3" max="6" width="25.109375" style="1" customWidth="1"/>
    <col min="7" max="7" width="14.5546875" style="1" bestFit="1" customWidth="1"/>
    <col min="8" max="8" width="14.6640625" style="1" bestFit="1" customWidth="1"/>
    <col min="9" max="11" width="12" style="1" bestFit="1" customWidth="1"/>
    <col min="12" max="13" width="13" style="1" bestFit="1" customWidth="1"/>
    <col min="14" max="16384" width="11.5546875" style="1"/>
  </cols>
  <sheetData>
    <row r="1" spans="1:13" x14ac:dyDescent="0.25">
      <c r="A1" s="92" t="s">
        <v>43</v>
      </c>
    </row>
    <row r="2" spans="1:13" ht="14.4" thickBot="1" x14ac:dyDescent="0.3">
      <c r="A2" s="92" t="s">
        <v>44</v>
      </c>
    </row>
    <row r="3" spans="1:13" s="89" customFormat="1" ht="14.4" thickBot="1" x14ac:dyDescent="0.3">
      <c r="A3" s="93"/>
    </row>
    <row r="4" spans="1:13" x14ac:dyDescent="0.25">
      <c r="A4" s="92"/>
      <c r="C4" s="1">
        <v>2011</v>
      </c>
      <c r="D4" s="1">
        <v>2012</v>
      </c>
      <c r="E4" s="1">
        <v>2013</v>
      </c>
      <c r="F4" s="1">
        <v>2014</v>
      </c>
      <c r="G4" s="1">
        <v>2015</v>
      </c>
      <c r="H4" s="1">
        <v>2016</v>
      </c>
      <c r="I4" s="1">
        <v>2017</v>
      </c>
      <c r="J4" s="1">
        <v>2018</v>
      </c>
      <c r="K4" s="1">
        <v>2019</v>
      </c>
      <c r="L4" s="1">
        <v>2020</v>
      </c>
      <c r="M4" s="1">
        <v>2021</v>
      </c>
    </row>
    <row r="5" spans="1:13" x14ac:dyDescent="0.25">
      <c r="A5" s="94" t="s">
        <v>45</v>
      </c>
      <c r="B5" s="2"/>
      <c r="C5" s="2">
        <v>2011</v>
      </c>
      <c r="D5" s="2">
        <v>2012</v>
      </c>
      <c r="E5" s="2">
        <v>2013</v>
      </c>
      <c r="F5" s="2">
        <v>2014</v>
      </c>
      <c r="G5" s="2">
        <v>2015</v>
      </c>
      <c r="H5" s="2">
        <v>2016</v>
      </c>
      <c r="I5" s="2">
        <v>2017</v>
      </c>
      <c r="J5" s="2">
        <v>2018</v>
      </c>
      <c r="K5" s="2">
        <v>2019</v>
      </c>
      <c r="L5" s="2">
        <v>2020</v>
      </c>
      <c r="M5" s="2">
        <v>2021</v>
      </c>
    </row>
    <row r="6" spans="1:13" x14ac:dyDescent="0.25">
      <c r="A6" s="94" t="s">
        <v>46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94" t="s">
        <v>47</v>
      </c>
      <c r="B7" s="2"/>
      <c r="C7" s="68">
        <v>0</v>
      </c>
      <c r="D7" s="68">
        <v>0</v>
      </c>
      <c r="E7" s="90">
        <f t="shared" ref="E7:I7" si="0">27.5%-10%</f>
        <v>0.17500000000000002</v>
      </c>
      <c r="F7" s="90">
        <f t="shared" si="0"/>
        <v>0.17500000000000002</v>
      </c>
      <c r="G7" s="90">
        <f t="shared" si="0"/>
        <v>0.17500000000000002</v>
      </c>
      <c r="H7" s="90">
        <f t="shared" si="0"/>
        <v>0.17500000000000002</v>
      </c>
      <c r="I7" s="90">
        <f t="shared" si="0"/>
        <v>0.17500000000000002</v>
      </c>
      <c r="J7" s="90">
        <f>27.5%-10%</f>
        <v>0.17500000000000002</v>
      </c>
      <c r="K7" s="90">
        <f t="shared" ref="K7:M7" si="1">27.5%-10%</f>
        <v>0.17500000000000002</v>
      </c>
      <c r="L7" s="90">
        <f t="shared" si="1"/>
        <v>0.17500000000000002</v>
      </c>
      <c r="M7" s="90">
        <f t="shared" si="1"/>
        <v>0.17500000000000002</v>
      </c>
    </row>
    <row r="8" spans="1:13" x14ac:dyDescent="0.25">
      <c r="A8" s="94" t="s">
        <v>48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94" t="s">
        <v>49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94" t="s">
        <v>50</v>
      </c>
      <c r="B10" s="2"/>
      <c r="C10" s="2"/>
      <c r="D10" s="2"/>
      <c r="E10" s="2">
        <f>H38</f>
        <v>0</v>
      </c>
      <c r="F10" s="2">
        <f>I38</f>
        <v>0</v>
      </c>
      <c r="G10" s="2">
        <f t="shared" ref="G10:I10" si="2">J38</f>
        <v>0</v>
      </c>
      <c r="H10" s="2">
        <f t="shared" si="2"/>
        <v>0</v>
      </c>
      <c r="I10" s="2">
        <f t="shared" si="2"/>
        <v>0</v>
      </c>
      <c r="J10" s="2">
        <v>1000000</v>
      </c>
      <c r="K10" s="2">
        <v>1000000</v>
      </c>
      <c r="L10" s="2">
        <v>1000000</v>
      </c>
      <c r="M10" s="2">
        <v>1000000</v>
      </c>
    </row>
    <row r="11" spans="1:13" x14ac:dyDescent="0.25">
      <c r="A11" s="94" t="s">
        <v>51</v>
      </c>
      <c r="B11" s="2"/>
      <c r="C11" s="2"/>
      <c r="D11" s="2"/>
      <c r="E11" s="2"/>
      <c r="F11" s="2"/>
      <c r="G11" s="2"/>
      <c r="H11" s="68">
        <f t="shared" ref="H11:M11" si="3">H39</f>
        <v>0</v>
      </c>
      <c r="I11" s="68">
        <f t="shared" si="3"/>
        <v>0</v>
      </c>
      <c r="J11" s="68">
        <f t="shared" si="3"/>
        <v>0</v>
      </c>
      <c r="K11" s="68">
        <f t="shared" si="3"/>
        <v>0</v>
      </c>
      <c r="L11" s="68">
        <f t="shared" si="3"/>
        <v>0</v>
      </c>
      <c r="M11" s="68">
        <f t="shared" si="3"/>
        <v>0</v>
      </c>
    </row>
    <row r="12" spans="1:13" x14ac:dyDescent="0.25">
      <c r="A12" s="94" t="s">
        <v>52</v>
      </c>
      <c r="B12" s="2"/>
      <c r="C12" s="2"/>
      <c r="D12" s="2"/>
      <c r="E12" s="90">
        <v>6.25E-2</v>
      </c>
      <c r="F12" s="90">
        <v>6.25E-2</v>
      </c>
      <c r="G12" s="90">
        <v>6.25E-2</v>
      </c>
      <c r="H12" s="90">
        <v>6.25E-2</v>
      </c>
      <c r="I12" s="90">
        <v>6.25E-2</v>
      </c>
      <c r="J12" s="90">
        <v>6.25E-2</v>
      </c>
      <c r="K12" s="90">
        <v>6.25E-2</v>
      </c>
      <c r="L12" s="90">
        <v>6.25E-2</v>
      </c>
      <c r="M12" s="90">
        <v>6.25E-2</v>
      </c>
    </row>
    <row r="13" spans="1:13" x14ac:dyDescent="0.25">
      <c r="A13" s="94" t="s">
        <v>53</v>
      </c>
      <c r="B13" s="2"/>
      <c r="C13" s="2"/>
      <c r="D13" s="2"/>
      <c r="E13" s="90">
        <v>6.25E-2</v>
      </c>
      <c r="F13" s="90">
        <v>6.25E-2</v>
      </c>
      <c r="G13" s="90">
        <v>6.25E-2</v>
      </c>
      <c r="H13" s="90">
        <v>6.25E-2</v>
      </c>
      <c r="I13" s="90">
        <v>6.25E-2</v>
      </c>
      <c r="J13" s="90">
        <v>6.25E-2</v>
      </c>
      <c r="K13" s="90">
        <v>6.25E-2</v>
      </c>
      <c r="L13" s="90">
        <v>6.25E-2</v>
      </c>
      <c r="M13" s="90">
        <v>6.25E-2</v>
      </c>
    </row>
    <row r="14" spans="1:13" x14ac:dyDescent="0.25">
      <c r="A14" s="94" t="s">
        <v>54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94" t="s">
        <v>55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94" t="s">
        <v>56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94" t="s">
        <v>57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94" t="s">
        <v>58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9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94" t="s">
        <v>59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94" t="s">
        <v>60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94" t="s">
        <v>61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94" t="s">
        <v>62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94" t="s">
        <v>63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9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94" t="s">
        <v>64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94" t="s">
        <v>65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94" t="s">
        <v>66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94" t="s">
        <v>67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94" t="s">
        <v>68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92"/>
    </row>
    <row r="32" spans="1:13" x14ac:dyDescent="0.25">
      <c r="A32" s="92"/>
    </row>
    <row r="33" spans="1:13" x14ac:dyDescent="0.25">
      <c r="A33" s="94" t="s">
        <v>69</v>
      </c>
      <c r="B33" s="2"/>
      <c r="C33" s="2">
        <v>2011</v>
      </c>
      <c r="D33" s="2">
        <v>2012</v>
      </c>
      <c r="E33" s="2">
        <v>2013</v>
      </c>
      <c r="F33" s="2">
        <v>2014</v>
      </c>
      <c r="G33" s="2">
        <v>2015</v>
      </c>
      <c r="H33" s="2">
        <v>2016</v>
      </c>
      <c r="I33" s="2">
        <v>2017</v>
      </c>
      <c r="J33" s="2">
        <v>2018</v>
      </c>
      <c r="K33" s="2">
        <v>2019</v>
      </c>
      <c r="L33" s="2">
        <v>2020</v>
      </c>
      <c r="M33" s="2">
        <v>2021</v>
      </c>
    </row>
    <row r="34" spans="1:13" x14ac:dyDescent="0.25">
      <c r="A34" s="95" t="s">
        <v>46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94" t="s">
        <v>47</v>
      </c>
      <c r="B35" s="2"/>
      <c r="C35" s="2"/>
      <c r="D35" s="2"/>
      <c r="E35" s="90">
        <v>0.17499999999999999</v>
      </c>
      <c r="F35" s="90">
        <v>0.17499999999999999</v>
      </c>
      <c r="G35" s="90">
        <v>0.17499999999999999</v>
      </c>
      <c r="H35" s="90">
        <v>0.17499999999999999</v>
      </c>
      <c r="I35" s="90">
        <v>0.17499999999999999</v>
      </c>
      <c r="J35" s="90">
        <v>0.17499999999999999</v>
      </c>
      <c r="K35" s="90">
        <v>0.17499999999999999</v>
      </c>
      <c r="L35" s="90">
        <v>0.17499999999999999</v>
      </c>
      <c r="M35" s="90">
        <v>0.17499999999999999</v>
      </c>
    </row>
    <row r="36" spans="1:13" x14ac:dyDescent="0.25">
      <c r="A36" s="94" t="s">
        <v>48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94" t="s">
        <v>49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94" t="s">
        <v>50</v>
      </c>
      <c r="B38" s="2"/>
      <c r="C38" s="2"/>
      <c r="D38" s="2"/>
      <c r="E38" s="2"/>
      <c r="F38" s="2"/>
      <c r="G38" s="2"/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5">
      <c r="A39" s="94" t="s">
        <v>47</v>
      </c>
      <c r="B39" s="2"/>
      <c r="C39" s="2"/>
      <c r="D39" s="2"/>
      <c r="E39" s="2"/>
      <c r="F39" s="2"/>
      <c r="G39" s="2"/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5">
      <c r="A40" s="94" t="s">
        <v>52</v>
      </c>
      <c r="B40" s="2"/>
      <c r="C40" s="90">
        <v>6.25E-2</v>
      </c>
      <c r="D40" s="90">
        <v>6.25E-2</v>
      </c>
      <c r="E40" s="90">
        <v>6.25E-2</v>
      </c>
      <c r="F40" s="90">
        <v>6.25E-2</v>
      </c>
      <c r="G40" s="90">
        <v>6.25E-2</v>
      </c>
      <c r="H40" s="90">
        <v>6.25E-2</v>
      </c>
      <c r="I40" s="90">
        <v>6.25E-2</v>
      </c>
      <c r="J40" s="90">
        <v>6.25E-2</v>
      </c>
      <c r="K40" s="90">
        <v>6.25E-2</v>
      </c>
      <c r="L40" s="90">
        <v>6.25E-2</v>
      </c>
      <c r="M40" s="90">
        <v>6.25E-2</v>
      </c>
    </row>
    <row r="41" spans="1:13" x14ac:dyDescent="0.25">
      <c r="A41" s="94" t="s">
        <v>53</v>
      </c>
      <c r="B41" s="2"/>
      <c r="C41" s="2"/>
      <c r="D41" s="2"/>
      <c r="E41" s="90">
        <v>6.25E-2</v>
      </c>
      <c r="F41" s="90">
        <v>6.25E-2</v>
      </c>
      <c r="G41" s="90">
        <v>6.25E-2</v>
      </c>
      <c r="H41" s="90">
        <v>6.25E-2</v>
      </c>
      <c r="I41" s="90">
        <v>6.25E-2</v>
      </c>
      <c r="J41" s="90">
        <v>6.25E-2</v>
      </c>
      <c r="K41" s="90">
        <v>6.25E-2</v>
      </c>
      <c r="L41" s="90">
        <v>6.25E-2</v>
      </c>
      <c r="M41" s="90">
        <v>6.25E-2</v>
      </c>
    </row>
    <row r="42" spans="1:13" x14ac:dyDescent="0.25">
      <c r="A42" s="94" t="s">
        <v>54</v>
      </c>
      <c r="B42" s="2"/>
      <c r="C42" s="2"/>
      <c r="D42" s="2"/>
      <c r="E42" s="2"/>
      <c r="F42" s="2"/>
      <c r="G42" s="2"/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5">
      <c r="A43" s="94" t="s">
        <v>55</v>
      </c>
      <c r="B43" s="2"/>
      <c r="C43" s="2"/>
      <c r="D43" s="2"/>
      <c r="E43" s="2"/>
      <c r="F43" s="2"/>
      <c r="G43" s="2"/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5">
      <c r="A44" s="94" t="s">
        <v>56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94" t="s">
        <v>70</v>
      </c>
      <c r="B45" s="2"/>
      <c r="C45" s="2"/>
      <c r="D45" s="2"/>
      <c r="E45" s="2"/>
      <c r="F45" s="2"/>
      <c r="G45" s="2"/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5">
      <c r="A46" s="94" t="s">
        <v>71</v>
      </c>
      <c r="B46" s="2"/>
      <c r="C46" s="2"/>
      <c r="D46" s="2"/>
      <c r="E46" s="2"/>
      <c r="F46" s="2"/>
      <c r="G46" s="2"/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5">
      <c r="A47" s="94" t="s">
        <v>57</v>
      </c>
      <c r="B47" s="2"/>
      <c r="C47" s="2"/>
      <c r="D47" s="2"/>
      <c r="E47" s="2"/>
      <c r="F47" s="2"/>
      <c r="G47" s="2"/>
      <c r="H47" s="2"/>
      <c r="I47" s="2"/>
      <c r="J47" s="2">
        <f>$G$109/2</f>
        <v>0</v>
      </c>
      <c r="K47" s="2">
        <f>$G$109/2</f>
        <v>0</v>
      </c>
      <c r="L47" s="2">
        <f>$G$109/2</f>
        <v>0</v>
      </c>
      <c r="M47" s="2">
        <f>$G$109/2</f>
        <v>0</v>
      </c>
    </row>
    <row r="48" spans="1:13" x14ac:dyDescent="0.25">
      <c r="A48" s="94" t="s">
        <v>58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9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5">
      <c r="A50" s="94" t="s">
        <v>59</v>
      </c>
      <c r="B50" s="2"/>
      <c r="C50" s="2"/>
      <c r="D50" s="2"/>
      <c r="E50" s="2"/>
      <c r="F50" s="2"/>
      <c r="G50" s="2"/>
      <c r="H50" s="2">
        <f>0</f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5">
      <c r="A51" s="94" t="s">
        <v>60</v>
      </c>
      <c r="B51" s="2"/>
      <c r="C51" s="2"/>
      <c r="D51" s="2"/>
      <c r="E51" s="2"/>
      <c r="F51" s="2"/>
      <c r="G51" s="2"/>
      <c r="H51" s="2">
        <f>$G$116</f>
        <v>0</v>
      </c>
      <c r="I51" s="2">
        <f>$G$116</f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5">
      <c r="A52" s="94" t="s">
        <v>61</v>
      </c>
      <c r="B52" s="2"/>
      <c r="C52" s="2"/>
      <c r="D52" s="2"/>
      <c r="E52" s="2"/>
      <c r="F52" s="2"/>
      <c r="G52" s="2"/>
      <c r="H52" s="2">
        <f>$G$117</f>
        <v>0</v>
      </c>
      <c r="I52" s="2">
        <f>$G$117</f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5">
      <c r="A53" s="94" t="s">
        <v>62</v>
      </c>
      <c r="B53" s="2"/>
      <c r="C53" s="2"/>
      <c r="D53" s="2"/>
      <c r="E53" s="2"/>
      <c r="F53" s="2"/>
      <c r="G53" s="2"/>
      <c r="H53" s="2">
        <f>G118</f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5">
      <c r="A54" s="94" t="s">
        <v>63</v>
      </c>
      <c r="B54" s="2"/>
      <c r="C54" s="2"/>
      <c r="D54" s="2"/>
      <c r="E54" s="90">
        <v>7.4999999999999997E-2</v>
      </c>
      <c r="F54" s="90">
        <v>7.4999999999999997E-2</v>
      </c>
      <c r="G54" s="90">
        <v>7.4999999999999997E-2</v>
      </c>
      <c r="H54" s="90">
        <v>7.4999999999999997E-2</v>
      </c>
      <c r="I54" s="90">
        <v>7.4999999999999997E-2</v>
      </c>
      <c r="J54" s="90">
        <v>7.4999999999999997E-2</v>
      </c>
      <c r="K54" s="90">
        <v>7.4999999999999997E-2</v>
      </c>
      <c r="L54" s="90">
        <v>7.4999999999999997E-2</v>
      </c>
      <c r="M54" s="90">
        <v>7.4999999999999997E-2</v>
      </c>
    </row>
    <row r="55" spans="1:13" x14ac:dyDescent="0.25">
      <c r="A55" s="9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94" t="s">
        <v>64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5">
      <c r="A57" s="94" t="s">
        <v>65</v>
      </c>
      <c r="B57" s="2"/>
      <c r="C57" s="7">
        <f>5000000+500000</f>
        <v>5500000</v>
      </c>
      <c r="D57" s="2"/>
      <c r="E57" s="2"/>
      <c r="F57" s="2"/>
      <c r="H57" s="7"/>
      <c r="I57" s="7"/>
      <c r="J57" s="7"/>
      <c r="K57" s="7"/>
      <c r="L57" s="7"/>
      <c r="M57" s="7"/>
    </row>
    <row r="58" spans="1:13" x14ac:dyDescent="0.25">
      <c r="A58" s="94" t="s">
        <v>66</v>
      </c>
      <c r="B58" s="2"/>
      <c r="C58" s="2">
        <v>7500000</v>
      </c>
      <c r="D58" s="2">
        <v>7500000</v>
      </c>
      <c r="E58" s="2">
        <v>7500000</v>
      </c>
      <c r="F58" s="2">
        <v>7500000</v>
      </c>
      <c r="G58" s="2">
        <v>7500000</v>
      </c>
      <c r="H58" s="2">
        <v>10000000</v>
      </c>
      <c r="I58" s="2">
        <v>10000000</v>
      </c>
      <c r="J58" s="2">
        <v>10000000</v>
      </c>
      <c r="K58" s="2">
        <v>10000000</v>
      </c>
      <c r="L58" s="2">
        <v>10000000</v>
      </c>
      <c r="M58" s="2">
        <v>15000000</v>
      </c>
    </row>
    <row r="59" spans="1:13" x14ac:dyDescent="0.25">
      <c r="A59" s="94" t="s">
        <v>72</v>
      </c>
      <c r="B59" s="2"/>
      <c r="C59" s="2"/>
      <c r="D59" s="2"/>
      <c r="E59" s="24">
        <v>0.04</v>
      </c>
      <c r="F59" s="24">
        <v>0.04</v>
      </c>
      <c r="G59" s="24">
        <v>0.04</v>
      </c>
      <c r="H59" s="24">
        <v>0.04</v>
      </c>
      <c r="I59" s="24">
        <v>0.04</v>
      </c>
      <c r="J59" s="24">
        <v>0.04</v>
      </c>
      <c r="K59" s="24">
        <v>0.04</v>
      </c>
      <c r="L59" s="24">
        <v>0.04</v>
      </c>
      <c r="M59" s="24">
        <v>0.04</v>
      </c>
    </row>
    <row r="60" spans="1:13" x14ac:dyDescent="0.25">
      <c r="A60" s="94" t="s">
        <v>73</v>
      </c>
      <c r="B60" s="2"/>
      <c r="C60" s="2"/>
      <c r="D60" s="2"/>
      <c r="E60" s="24">
        <v>0.03</v>
      </c>
      <c r="F60" s="24">
        <v>0.03</v>
      </c>
      <c r="G60" s="24">
        <v>0.03</v>
      </c>
      <c r="H60" s="24">
        <v>0.03</v>
      </c>
      <c r="I60" s="24">
        <v>0.03</v>
      </c>
      <c r="J60" s="24">
        <v>0.03</v>
      </c>
      <c r="K60" s="24">
        <v>0.03</v>
      </c>
      <c r="L60" s="24">
        <v>0.03</v>
      </c>
      <c r="M60" s="24">
        <v>0.03</v>
      </c>
    </row>
    <row r="61" spans="1:13" x14ac:dyDescent="0.25">
      <c r="A61" s="94" t="s">
        <v>74</v>
      </c>
      <c r="B61" s="2"/>
      <c r="C61" s="2"/>
      <c r="D61" s="2"/>
      <c r="E61" s="24">
        <v>0.05</v>
      </c>
      <c r="F61" s="24">
        <v>0.05</v>
      </c>
      <c r="G61" s="24">
        <v>0.05</v>
      </c>
      <c r="H61" s="24">
        <v>0.05</v>
      </c>
      <c r="I61" s="24">
        <v>0.05</v>
      </c>
      <c r="J61" s="24">
        <v>0.05</v>
      </c>
      <c r="K61" s="24">
        <v>0.05</v>
      </c>
      <c r="L61" s="24">
        <v>0.05</v>
      </c>
      <c r="M61" s="24">
        <v>0.05</v>
      </c>
    </row>
    <row r="62" spans="1:13" x14ac:dyDescent="0.25">
      <c r="A62" s="94" t="s">
        <v>68</v>
      </c>
      <c r="B62" s="2"/>
      <c r="C62" s="2"/>
      <c r="D62" s="2"/>
      <c r="E62" s="2"/>
      <c r="F62" s="2"/>
      <c r="G62" s="7"/>
      <c r="H62" s="7"/>
      <c r="I62" s="7"/>
      <c r="J62" s="7"/>
      <c r="K62" s="7"/>
      <c r="L62" s="7"/>
      <c r="M62" s="7"/>
    </row>
    <row r="63" spans="1:13" x14ac:dyDescent="0.25">
      <c r="A63" s="92"/>
    </row>
    <row r="64" spans="1:13" x14ac:dyDescent="0.25">
      <c r="A64" s="92"/>
    </row>
    <row r="65" spans="1:13" x14ac:dyDescent="0.25">
      <c r="A65" s="94" t="s">
        <v>75</v>
      </c>
      <c r="B65" s="2"/>
      <c r="C65" s="2">
        <f t="shared" ref="C65:G65" si="4">C4</f>
        <v>2011</v>
      </c>
      <c r="D65" s="2">
        <f t="shared" si="4"/>
        <v>2012</v>
      </c>
      <c r="E65" s="2">
        <f t="shared" si="4"/>
        <v>2013</v>
      </c>
      <c r="F65" s="2">
        <f t="shared" si="4"/>
        <v>2014</v>
      </c>
      <c r="G65" s="2">
        <f t="shared" si="4"/>
        <v>2015</v>
      </c>
      <c r="H65" s="2">
        <f>H4</f>
        <v>2016</v>
      </c>
      <c r="I65" s="2">
        <f t="shared" ref="I65:M65" si="5">I4</f>
        <v>2017</v>
      </c>
      <c r="J65" s="2">
        <f t="shared" si="5"/>
        <v>2018</v>
      </c>
      <c r="K65" s="2">
        <f t="shared" si="5"/>
        <v>2019</v>
      </c>
      <c r="L65" s="2">
        <f t="shared" si="5"/>
        <v>2020</v>
      </c>
      <c r="M65" s="2">
        <f t="shared" si="5"/>
        <v>2021</v>
      </c>
    </row>
    <row r="66" spans="1:13" x14ac:dyDescent="0.25">
      <c r="A66" s="94" t="s">
        <v>46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94" t="s">
        <v>47</v>
      </c>
      <c r="B67" s="2"/>
      <c r="C67" s="90">
        <f t="shared" ref="C67:D67" si="6">C100</f>
        <v>0</v>
      </c>
      <c r="D67" s="90">
        <f t="shared" si="6"/>
        <v>0</v>
      </c>
      <c r="E67" s="90">
        <v>0.27500000000000002</v>
      </c>
      <c r="F67" s="90">
        <v>0.27500000000000002</v>
      </c>
      <c r="G67" s="90">
        <v>0.27500000000000002</v>
      </c>
      <c r="H67" s="90">
        <v>0.27500000000000002</v>
      </c>
      <c r="I67" s="90">
        <v>0.27500000000000002</v>
      </c>
      <c r="J67" s="90">
        <v>0.27500000000000002</v>
      </c>
      <c r="K67" s="90">
        <v>0.27500000000000002</v>
      </c>
      <c r="L67" s="90">
        <v>0.27500000000000002</v>
      </c>
      <c r="M67" s="90">
        <v>0.27500000000000002</v>
      </c>
    </row>
    <row r="68" spans="1:13" x14ac:dyDescent="0.25">
      <c r="A68" s="94" t="s">
        <v>48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94" t="s">
        <v>49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94" t="s">
        <v>50</v>
      </c>
      <c r="B70" s="2"/>
      <c r="C70" s="2"/>
      <c r="D70" s="2"/>
      <c r="E70" s="2"/>
      <c r="F70" s="2"/>
      <c r="G70" s="2"/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</row>
    <row r="71" spans="1:13" x14ac:dyDescent="0.25">
      <c r="A71" s="92" t="s">
        <v>47</v>
      </c>
      <c r="B71" s="2"/>
      <c r="C71" s="2"/>
      <c r="D71" s="2"/>
      <c r="E71" s="2"/>
      <c r="F71" s="2"/>
      <c r="G71" s="2"/>
      <c r="H71" s="68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</row>
    <row r="72" spans="1:13" x14ac:dyDescent="0.25">
      <c r="A72" s="94" t="s">
        <v>52</v>
      </c>
      <c r="B72" s="2"/>
      <c r="C72" s="2"/>
      <c r="D72" s="2"/>
      <c r="E72" s="68">
        <v>6.25E-2</v>
      </c>
      <c r="F72" s="68">
        <v>6.25E-2</v>
      </c>
      <c r="G72" s="68">
        <v>6.25E-2</v>
      </c>
      <c r="H72" s="68">
        <v>6.25E-2</v>
      </c>
      <c r="I72" s="68">
        <v>6.25E-2</v>
      </c>
      <c r="J72" s="68">
        <v>6.25E-2</v>
      </c>
      <c r="K72" s="68">
        <v>6.25E-2</v>
      </c>
      <c r="L72" s="68">
        <v>6.25E-2</v>
      </c>
      <c r="M72" s="68">
        <v>6.25E-2</v>
      </c>
    </row>
    <row r="73" spans="1:13" x14ac:dyDescent="0.25">
      <c r="A73" s="94" t="s">
        <v>53</v>
      </c>
      <c r="B73" s="2"/>
      <c r="C73" s="2"/>
      <c r="D73" s="2"/>
      <c r="E73" s="68">
        <v>6.25E-2</v>
      </c>
      <c r="F73" s="68">
        <v>6.25E-2</v>
      </c>
      <c r="G73" s="68">
        <v>6.25E-2</v>
      </c>
      <c r="H73" s="68">
        <v>6.25E-2</v>
      </c>
      <c r="I73" s="68">
        <v>6.25E-2</v>
      </c>
      <c r="J73" s="68">
        <v>6.25E-2</v>
      </c>
      <c r="K73" s="68">
        <v>6.25E-2</v>
      </c>
      <c r="L73" s="68">
        <v>6.25E-2</v>
      </c>
      <c r="M73" s="68">
        <v>6.25E-2</v>
      </c>
    </row>
    <row r="74" spans="1:13" x14ac:dyDescent="0.25">
      <c r="A74" s="94" t="s">
        <v>54</v>
      </c>
      <c r="B74" s="2"/>
      <c r="C74" s="2"/>
      <c r="D74" s="2"/>
      <c r="E74" s="2"/>
      <c r="F74" s="2"/>
      <c r="G74" s="2"/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</row>
    <row r="75" spans="1:13" x14ac:dyDescent="0.25">
      <c r="A75" s="94" t="s">
        <v>55</v>
      </c>
      <c r="B75" s="2"/>
      <c r="C75" s="2"/>
      <c r="D75" s="2"/>
      <c r="E75" s="2"/>
      <c r="F75" s="2"/>
      <c r="G75" s="2"/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</row>
    <row r="76" spans="1:13" x14ac:dyDescent="0.25">
      <c r="A76" s="94" t="s">
        <v>56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94" t="s">
        <v>70</v>
      </c>
      <c r="B77" s="2"/>
      <c r="C77" s="2"/>
      <c r="D77" s="2"/>
      <c r="E77" s="2"/>
      <c r="F77" s="2"/>
      <c r="G77" s="2"/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</row>
    <row r="78" spans="1:13" x14ac:dyDescent="0.25">
      <c r="A78" s="94" t="s">
        <v>71</v>
      </c>
      <c r="B78" s="2"/>
      <c r="C78" s="2"/>
      <c r="D78" s="2"/>
      <c r="E78" s="2"/>
      <c r="F78" s="2"/>
      <c r="G78" s="2"/>
      <c r="H78" s="68">
        <v>0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</row>
    <row r="79" spans="1:13" x14ac:dyDescent="0.25">
      <c r="A79" s="94" t="s">
        <v>57</v>
      </c>
      <c r="B79" s="2"/>
      <c r="C79" s="2"/>
      <c r="D79" s="2"/>
      <c r="E79" s="2"/>
      <c r="F79" s="2"/>
      <c r="G79" s="2"/>
      <c r="H79" s="68"/>
      <c r="I79" s="68"/>
      <c r="J79" s="68">
        <v>0</v>
      </c>
      <c r="K79" s="68">
        <v>0</v>
      </c>
      <c r="L79" s="68">
        <v>0</v>
      </c>
      <c r="M79" s="68">
        <v>0</v>
      </c>
    </row>
    <row r="80" spans="1:13" x14ac:dyDescent="0.25">
      <c r="A80" s="94" t="s">
        <v>58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25">
      <c r="A81" s="9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94" t="s">
        <v>59</v>
      </c>
      <c r="B82" s="2"/>
      <c r="C82" s="2"/>
      <c r="D82" s="2"/>
      <c r="E82" s="2"/>
      <c r="F82" s="2"/>
      <c r="G82" s="2"/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</row>
    <row r="83" spans="1:13" x14ac:dyDescent="0.25">
      <c r="A83" s="94" t="s">
        <v>60</v>
      </c>
      <c r="B83" s="2"/>
      <c r="C83" s="2"/>
      <c r="D83" s="2"/>
      <c r="E83" s="2"/>
      <c r="F83" s="2"/>
      <c r="G83" s="2"/>
      <c r="H83" s="68">
        <v>0</v>
      </c>
      <c r="I83" s="68">
        <v>0</v>
      </c>
      <c r="J83" s="68">
        <v>0</v>
      </c>
      <c r="K83" s="68">
        <v>0</v>
      </c>
      <c r="L83" s="68">
        <v>0</v>
      </c>
      <c r="M83" s="68">
        <v>0</v>
      </c>
    </row>
    <row r="84" spans="1:13" x14ac:dyDescent="0.25">
      <c r="A84" s="94" t="s">
        <v>61</v>
      </c>
      <c r="B84" s="2"/>
      <c r="C84" s="2"/>
      <c r="D84" s="2"/>
      <c r="E84" s="2"/>
      <c r="F84" s="2"/>
      <c r="G84" s="2"/>
      <c r="H84" s="68">
        <v>0</v>
      </c>
      <c r="I84" s="68">
        <v>0</v>
      </c>
      <c r="J84" s="68">
        <v>0</v>
      </c>
      <c r="K84" s="68">
        <v>0</v>
      </c>
      <c r="L84" s="68">
        <v>0</v>
      </c>
      <c r="M84" s="68">
        <v>0</v>
      </c>
    </row>
    <row r="85" spans="1:13" x14ac:dyDescent="0.25">
      <c r="A85" s="94" t="s">
        <v>62</v>
      </c>
      <c r="B85" s="2"/>
      <c r="C85" s="2"/>
      <c r="D85" s="2"/>
      <c r="E85" s="2"/>
      <c r="F85" s="2"/>
      <c r="G85" s="2"/>
      <c r="H85" s="68">
        <v>0</v>
      </c>
      <c r="I85" s="68">
        <v>0</v>
      </c>
      <c r="J85" s="68">
        <v>0</v>
      </c>
      <c r="K85" s="68">
        <v>0</v>
      </c>
      <c r="L85" s="68">
        <v>0</v>
      </c>
      <c r="M85" s="68">
        <v>0</v>
      </c>
    </row>
    <row r="86" spans="1:13" x14ac:dyDescent="0.25">
      <c r="A86" s="94" t="s">
        <v>63</v>
      </c>
      <c r="B86" s="2"/>
      <c r="C86" s="2"/>
      <c r="D86" s="2"/>
      <c r="E86" s="2"/>
      <c r="F86" s="2"/>
      <c r="G86" s="2"/>
      <c r="H86" s="68"/>
      <c r="I86" s="68"/>
      <c r="J86" s="68">
        <v>7.4999999999999997E-2</v>
      </c>
      <c r="K86" s="68">
        <v>7.4999999999999997E-2</v>
      </c>
      <c r="L86" s="68">
        <v>7.4999999999999997E-2</v>
      </c>
      <c r="M86" s="68">
        <v>7.4999999999999997E-2</v>
      </c>
    </row>
    <row r="87" spans="1:13" x14ac:dyDescent="0.25">
      <c r="A87" s="9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94" t="s">
        <v>64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94" t="s">
        <v>65</v>
      </c>
      <c r="B89" s="2"/>
      <c r="C89" s="2">
        <v>10000000</v>
      </c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94" t="s">
        <v>66</v>
      </c>
      <c r="B90" s="2"/>
      <c r="C90" s="2">
        <f>7500000/12</f>
        <v>625000</v>
      </c>
      <c r="D90" s="2">
        <v>7500000</v>
      </c>
      <c r="E90" s="2">
        <v>7500000</v>
      </c>
      <c r="F90" s="2">
        <v>7500000</v>
      </c>
      <c r="G90" s="2">
        <v>7500000</v>
      </c>
      <c r="H90" s="2">
        <v>10000000</v>
      </c>
      <c r="I90" s="2">
        <v>10000000</v>
      </c>
      <c r="J90" s="2">
        <v>10000000</v>
      </c>
      <c r="K90" s="2">
        <v>10000000</v>
      </c>
      <c r="L90" s="2">
        <v>10000000</v>
      </c>
      <c r="M90" s="2">
        <v>15000000</v>
      </c>
    </row>
    <row r="91" spans="1:13" x14ac:dyDescent="0.25">
      <c r="A91" s="94" t="s">
        <v>72</v>
      </c>
      <c r="B91" s="2"/>
      <c r="C91" s="2"/>
      <c r="D91" s="2"/>
      <c r="E91" s="68">
        <v>0.04</v>
      </c>
      <c r="F91" s="68">
        <v>0.04</v>
      </c>
      <c r="G91" s="68">
        <v>0.04</v>
      </c>
      <c r="H91" s="68">
        <v>0.04</v>
      </c>
      <c r="I91" s="68">
        <v>0.04</v>
      </c>
      <c r="J91" s="68">
        <v>0.04</v>
      </c>
      <c r="K91" s="68">
        <v>0.04</v>
      </c>
      <c r="L91" s="68">
        <v>0.04</v>
      </c>
      <c r="M91" s="68">
        <v>0.04</v>
      </c>
    </row>
    <row r="92" spans="1:13" x14ac:dyDescent="0.25">
      <c r="A92" s="94" t="s">
        <v>73</v>
      </c>
      <c r="B92" s="2"/>
      <c r="C92" s="2"/>
      <c r="D92" s="2"/>
      <c r="E92" s="68">
        <v>0.03</v>
      </c>
      <c r="F92" s="68">
        <v>0.03</v>
      </c>
      <c r="G92" s="68">
        <v>0.03</v>
      </c>
      <c r="H92" s="68">
        <v>0.03</v>
      </c>
      <c r="I92" s="68">
        <v>0.03</v>
      </c>
      <c r="J92" s="68">
        <v>0.03</v>
      </c>
      <c r="K92" s="68">
        <v>0.03</v>
      </c>
      <c r="L92" s="68">
        <v>0.03</v>
      </c>
      <c r="M92" s="68">
        <v>0.03</v>
      </c>
    </row>
    <row r="93" spans="1:13" x14ac:dyDescent="0.25">
      <c r="A93" s="94" t="s">
        <v>74</v>
      </c>
      <c r="E93" s="68">
        <v>0.05</v>
      </c>
      <c r="F93" s="68">
        <v>0.05</v>
      </c>
      <c r="G93" s="68">
        <v>0.05</v>
      </c>
      <c r="H93" s="68">
        <v>0.05</v>
      </c>
      <c r="I93" s="68">
        <v>0.05</v>
      </c>
      <c r="J93" s="68">
        <v>0.05</v>
      </c>
      <c r="K93" s="68">
        <v>0.05</v>
      </c>
      <c r="L93" s="68">
        <v>0.05</v>
      </c>
      <c r="M93" s="68">
        <v>0.05</v>
      </c>
    </row>
    <row r="94" spans="1:13" x14ac:dyDescent="0.25">
      <c r="A94" s="94" t="s">
        <v>68</v>
      </c>
      <c r="G94" s="2"/>
      <c r="H94" s="2"/>
      <c r="I94" s="2"/>
      <c r="J94" s="2"/>
      <c r="K94" s="2"/>
      <c r="L94" s="2"/>
      <c r="M94" s="2"/>
    </row>
    <row r="95" spans="1:13" x14ac:dyDescent="0.25">
      <c r="A95" s="94" t="s">
        <v>76</v>
      </c>
      <c r="E95" s="91">
        <v>0.01</v>
      </c>
      <c r="F95" s="91">
        <v>0.01</v>
      </c>
      <c r="G95" s="91">
        <v>0.01</v>
      </c>
      <c r="H95" s="91">
        <v>0.01</v>
      </c>
      <c r="I95" s="91">
        <v>0.01</v>
      </c>
      <c r="J95" s="91">
        <v>0.01</v>
      </c>
      <c r="K95" s="91">
        <v>0.01</v>
      </c>
      <c r="L95" s="91">
        <v>0.01</v>
      </c>
      <c r="M95" s="91">
        <v>0.01</v>
      </c>
    </row>
    <row r="96" spans="1:13" x14ac:dyDescent="0.25">
      <c r="A96" s="92"/>
    </row>
    <row r="97" spans="1:13" x14ac:dyDescent="0.25">
      <c r="A97" s="92"/>
    </row>
    <row r="98" spans="1:13" x14ac:dyDescent="0.25">
      <c r="A98" s="94" t="s">
        <v>77</v>
      </c>
      <c r="B98" s="2"/>
      <c r="C98" s="2">
        <v>2011</v>
      </c>
      <c r="D98" s="2">
        <v>2012</v>
      </c>
      <c r="E98" s="2">
        <v>2013</v>
      </c>
      <c r="F98" s="2">
        <v>2014</v>
      </c>
      <c r="G98" s="2">
        <v>2015</v>
      </c>
      <c r="H98" s="2">
        <v>2016</v>
      </c>
      <c r="I98" s="2">
        <v>2017</v>
      </c>
      <c r="J98" s="2">
        <v>2018</v>
      </c>
      <c r="K98" s="2">
        <v>2019</v>
      </c>
      <c r="L98" s="2">
        <v>2020</v>
      </c>
      <c r="M98" s="2">
        <v>2021</v>
      </c>
    </row>
    <row r="99" spans="1:13" x14ac:dyDescent="0.25">
      <c r="A99" s="94" t="s">
        <v>46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x14ac:dyDescent="0.25">
      <c r="A100" s="94" t="s">
        <v>47</v>
      </c>
      <c r="B100" s="2"/>
      <c r="C100" s="2"/>
      <c r="D100" s="2"/>
      <c r="E100" s="90">
        <f>27.5%</f>
        <v>0.27500000000000002</v>
      </c>
      <c r="F100" s="90">
        <f>27.5%</f>
        <v>0.27500000000000002</v>
      </c>
      <c r="G100" s="90">
        <f>27.5%</f>
        <v>0.27500000000000002</v>
      </c>
      <c r="H100" s="90">
        <f>27.5%</f>
        <v>0.27500000000000002</v>
      </c>
      <c r="I100" s="90">
        <f t="shared" ref="I100:M100" si="7">27.5%</f>
        <v>0.27500000000000002</v>
      </c>
      <c r="J100" s="90">
        <f t="shared" si="7"/>
        <v>0.27500000000000002</v>
      </c>
      <c r="K100" s="90">
        <f t="shared" si="7"/>
        <v>0.27500000000000002</v>
      </c>
      <c r="L100" s="90">
        <f t="shared" si="7"/>
        <v>0.27500000000000002</v>
      </c>
      <c r="M100" s="90">
        <f t="shared" si="7"/>
        <v>0.27500000000000002</v>
      </c>
    </row>
    <row r="101" spans="1:13" x14ac:dyDescent="0.25">
      <c r="A101" s="94" t="s">
        <v>48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x14ac:dyDescent="0.25">
      <c r="A102" s="95" t="s">
        <v>49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x14ac:dyDescent="0.25">
      <c r="A103" s="94" t="s">
        <v>78</v>
      </c>
      <c r="B103" s="2"/>
      <c r="C103" s="2"/>
      <c r="D103" s="2"/>
      <c r="E103" s="2"/>
      <c r="F103" s="2"/>
      <c r="G103" s="7">
        <v>1000000</v>
      </c>
      <c r="H103" s="7">
        <v>1000000</v>
      </c>
      <c r="I103" s="7">
        <v>1000000</v>
      </c>
      <c r="J103" s="7">
        <v>1000000</v>
      </c>
      <c r="K103" s="7">
        <v>1000000</v>
      </c>
      <c r="L103" s="7">
        <v>1000000</v>
      </c>
      <c r="M103" s="7">
        <v>1000000</v>
      </c>
    </row>
    <row r="104" spans="1:13" x14ac:dyDescent="0.25">
      <c r="A104" s="94" t="s">
        <v>47</v>
      </c>
      <c r="B104" s="2"/>
      <c r="C104" s="2"/>
      <c r="D104" s="2"/>
      <c r="E104" s="90">
        <v>5.0000000000000001E-3</v>
      </c>
      <c r="F104" s="90">
        <v>5.0000000000000001E-3</v>
      </c>
      <c r="G104" s="90">
        <v>5.0000000000000001E-3</v>
      </c>
      <c r="H104" s="90">
        <v>5.0000000000000001E-3</v>
      </c>
      <c r="I104" s="90">
        <v>5.0000000000000001E-3</v>
      </c>
      <c r="J104" s="90">
        <v>5.0000000000000001E-3</v>
      </c>
      <c r="K104" s="90">
        <v>5.0000000000000001E-3</v>
      </c>
      <c r="L104" s="90">
        <v>5.0000000000000001E-3</v>
      </c>
      <c r="M104" s="90">
        <v>5.0000000000000001E-3</v>
      </c>
    </row>
    <row r="105" spans="1:13" x14ac:dyDescent="0.25">
      <c r="A105" s="94" t="s">
        <v>52</v>
      </c>
      <c r="B105" s="2"/>
      <c r="C105" s="2"/>
      <c r="D105" s="2"/>
      <c r="E105" s="90">
        <v>0.125</v>
      </c>
      <c r="F105" s="90">
        <v>0.125</v>
      </c>
      <c r="G105" s="90">
        <v>0.125</v>
      </c>
      <c r="H105" s="90">
        <v>0.125</v>
      </c>
      <c r="I105" s="90">
        <v>0.125</v>
      </c>
      <c r="J105" s="90">
        <v>0.125</v>
      </c>
      <c r="K105" s="90">
        <v>0.125</v>
      </c>
      <c r="L105" s="90">
        <v>0.125</v>
      </c>
      <c r="M105" s="90">
        <v>0.125</v>
      </c>
    </row>
    <row r="106" spans="1:13" x14ac:dyDescent="0.25">
      <c r="A106" s="94" t="s">
        <v>53</v>
      </c>
      <c r="B106" s="2"/>
      <c r="C106" s="2"/>
      <c r="D106" s="2"/>
      <c r="E106" s="90">
        <v>0.125</v>
      </c>
      <c r="F106" s="90">
        <v>0.125</v>
      </c>
      <c r="G106" s="90">
        <v>0.125</v>
      </c>
      <c r="H106" s="90">
        <v>0.125</v>
      </c>
      <c r="I106" s="90">
        <v>0.125</v>
      </c>
      <c r="J106" s="90">
        <v>0.125</v>
      </c>
      <c r="K106" s="90">
        <v>0.125</v>
      </c>
      <c r="L106" s="90">
        <v>0.125</v>
      </c>
      <c r="M106" s="90">
        <v>0.125</v>
      </c>
    </row>
    <row r="107" spans="1:13" x14ac:dyDescent="0.25">
      <c r="A107" s="94" t="s">
        <v>54</v>
      </c>
      <c r="B107" s="2"/>
      <c r="C107" s="2"/>
      <c r="D107" s="2"/>
      <c r="E107" s="91">
        <v>0.18</v>
      </c>
      <c r="F107" s="91">
        <v>0.18</v>
      </c>
      <c r="G107" s="91">
        <v>0.18</v>
      </c>
      <c r="H107" s="91">
        <v>0.18</v>
      </c>
      <c r="I107" s="91">
        <v>0.18</v>
      </c>
      <c r="J107" s="91">
        <v>0.18</v>
      </c>
      <c r="K107" s="91">
        <v>0.18</v>
      </c>
      <c r="L107" s="91">
        <v>0.18</v>
      </c>
      <c r="M107" s="91">
        <v>0.18</v>
      </c>
    </row>
    <row r="108" spans="1:13" x14ac:dyDescent="0.25">
      <c r="A108" s="94" t="s">
        <v>55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94" t="s">
        <v>56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94" t="s">
        <v>70</v>
      </c>
      <c r="B110" s="2"/>
      <c r="C110" s="2">
        <v>5500000</v>
      </c>
      <c r="D110" s="2"/>
      <c r="E110" s="2" t="s">
        <v>79</v>
      </c>
      <c r="F110" s="2" t="s">
        <v>79</v>
      </c>
      <c r="G110" s="2" t="s">
        <v>79</v>
      </c>
      <c r="H110" s="2" t="s">
        <v>79</v>
      </c>
      <c r="I110" s="2" t="s">
        <v>79</v>
      </c>
      <c r="J110" s="2" t="s">
        <v>79</v>
      </c>
      <c r="K110" s="2" t="s">
        <v>79</v>
      </c>
      <c r="L110" s="2" t="s">
        <v>79</v>
      </c>
      <c r="M110" s="2" t="s">
        <v>79</v>
      </c>
    </row>
    <row r="111" spans="1:13" x14ac:dyDescent="0.25">
      <c r="A111" s="94" t="s">
        <v>71</v>
      </c>
      <c r="B111" s="2"/>
      <c r="C111" s="2"/>
      <c r="D111" s="2"/>
      <c r="E111" s="91">
        <v>0.08</v>
      </c>
      <c r="F111" s="91">
        <v>0.08</v>
      </c>
      <c r="G111" s="91">
        <v>0.08</v>
      </c>
      <c r="H111" s="91">
        <v>0.08</v>
      </c>
      <c r="I111" s="91">
        <v>0.08</v>
      </c>
      <c r="J111" s="91">
        <v>0.08</v>
      </c>
      <c r="K111" s="91">
        <v>0.08</v>
      </c>
      <c r="L111" s="91">
        <v>0.08</v>
      </c>
      <c r="M111" s="91">
        <v>0.08</v>
      </c>
    </row>
    <row r="112" spans="1:13" x14ac:dyDescent="0.25">
      <c r="A112" s="94" t="s">
        <v>57</v>
      </c>
      <c r="B112" s="2"/>
      <c r="C112" s="2"/>
      <c r="D112" s="2"/>
      <c r="E112" s="91">
        <v>0.03</v>
      </c>
      <c r="F112" s="91">
        <v>0.03</v>
      </c>
      <c r="G112" s="91">
        <v>0.03</v>
      </c>
      <c r="H112" s="91">
        <v>0.03</v>
      </c>
      <c r="I112" s="91">
        <v>0.03</v>
      </c>
      <c r="J112" s="91">
        <v>0.03</v>
      </c>
      <c r="K112" s="91">
        <v>0.03</v>
      </c>
      <c r="L112" s="91">
        <v>0.03</v>
      </c>
      <c r="M112" s="91">
        <v>0.03</v>
      </c>
    </row>
    <row r="113" spans="1:13" x14ac:dyDescent="0.25">
      <c r="A113" s="94" t="s">
        <v>58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x14ac:dyDescent="0.25">
      <c r="A114" s="9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x14ac:dyDescent="0.25">
      <c r="A115" s="94" t="s">
        <v>59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x14ac:dyDescent="0.25">
      <c r="A116" s="94" t="s">
        <v>60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x14ac:dyDescent="0.25">
      <c r="A117" s="94" t="s">
        <v>61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x14ac:dyDescent="0.25">
      <c r="A118" s="94" t="s">
        <v>62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x14ac:dyDescent="0.25">
      <c r="A119" s="94" t="s">
        <v>63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x14ac:dyDescent="0.25">
      <c r="A120" s="9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x14ac:dyDescent="0.25">
      <c r="A121" s="94" t="s">
        <v>64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x14ac:dyDescent="0.25">
      <c r="A122" s="94" t="s">
        <v>65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x14ac:dyDescent="0.25">
      <c r="A123" s="94" t="s">
        <v>66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x14ac:dyDescent="0.25">
      <c r="A124" s="94" t="s">
        <v>67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94" t="s">
        <v>68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8D36-1C35-4F20-B1E6-95B15407989E}">
  <sheetPr>
    <tabColor rgb="FF00B0F0"/>
  </sheetPr>
  <dimension ref="A1:M122"/>
  <sheetViews>
    <sheetView topLeftCell="A109" workbookViewId="0">
      <pane xSplit="1" topLeftCell="B1" activePane="topRight" state="frozen"/>
      <selection activeCell="A46" sqref="A46"/>
      <selection pane="topRight" activeCell="C129" sqref="C129"/>
    </sheetView>
  </sheetViews>
  <sheetFormatPr baseColWidth="10" defaultColWidth="11.5546875" defaultRowHeight="14.4" x14ac:dyDescent="0.3"/>
  <cols>
    <col min="1" max="1" width="51.88671875" style="10" bestFit="1" customWidth="1"/>
    <col min="2" max="2" width="11.5546875" style="10"/>
    <col min="3" max="3" width="13.6640625" style="10" bestFit="1" customWidth="1"/>
    <col min="4" max="5" width="14.6640625" style="10" bestFit="1" customWidth="1"/>
    <col min="6" max="13" width="13.6640625" style="10" bestFit="1" customWidth="1"/>
    <col min="14" max="16384" width="11.5546875" style="10"/>
  </cols>
  <sheetData>
    <row r="1" spans="1:13" x14ac:dyDescent="0.3">
      <c r="A1" s="9" t="s">
        <v>80</v>
      </c>
      <c r="B1" s="9" t="s">
        <v>81</v>
      </c>
      <c r="C1" s="9">
        <v>2011</v>
      </c>
      <c r="D1" s="9">
        <v>2012</v>
      </c>
      <c r="E1" s="9">
        <v>2013</v>
      </c>
      <c r="F1" s="9">
        <v>2014</v>
      </c>
      <c r="G1" s="9">
        <v>2015</v>
      </c>
      <c r="H1" s="9">
        <v>2016</v>
      </c>
      <c r="I1" s="9">
        <v>2017</v>
      </c>
      <c r="J1" s="9">
        <v>2018</v>
      </c>
      <c r="K1" s="9">
        <v>2019</v>
      </c>
      <c r="L1" s="9">
        <v>2020</v>
      </c>
      <c r="M1" s="9">
        <v>2021</v>
      </c>
    </row>
    <row r="2" spans="1:13" x14ac:dyDescent="0.3">
      <c r="A2" s="11"/>
      <c r="B2" s="11"/>
    </row>
    <row r="3" spans="1:13" x14ac:dyDescent="0.3">
      <c r="A3" s="12" t="s">
        <v>82</v>
      </c>
      <c r="B3" s="13" t="s">
        <v>83</v>
      </c>
      <c r="C3" s="14">
        <v>11</v>
      </c>
      <c r="D3" s="14">
        <v>10</v>
      </c>
      <c r="E3" s="14">
        <v>9</v>
      </c>
      <c r="F3" s="14">
        <v>8</v>
      </c>
      <c r="G3" s="14">
        <v>7</v>
      </c>
      <c r="H3" s="14">
        <v>6</v>
      </c>
      <c r="I3" s="14">
        <v>5</v>
      </c>
      <c r="J3" s="14">
        <v>4</v>
      </c>
      <c r="K3" s="14">
        <v>3</v>
      </c>
      <c r="L3" s="14">
        <v>2</v>
      </c>
      <c r="M3" s="14">
        <v>1</v>
      </c>
    </row>
    <row r="4" spans="1:13" x14ac:dyDescent="0.3">
      <c r="A4" s="13"/>
      <c r="B4" s="13"/>
    </row>
    <row r="5" spans="1:13" x14ac:dyDescent="0.3">
      <c r="A5" s="15" t="s">
        <v>84</v>
      </c>
      <c r="B5" s="16"/>
    </row>
    <row r="6" spans="1:13" x14ac:dyDescent="0.3">
      <c r="A6" s="12" t="s">
        <v>85</v>
      </c>
      <c r="B6" s="13" t="s">
        <v>83</v>
      </c>
      <c r="C6" s="17">
        <v>10</v>
      </c>
    </row>
    <row r="7" spans="1:13" x14ac:dyDescent="0.3">
      <c r="A7" s="12" t="s">
        <v>86</v>
      </c>
      <c r="B7" s="13" t="s">
        <v>87</v>
      </c>
      <c r="C7" s="17">
        <v>1</v>
      </c>
    </row>
    <row r="8" spans="1:13" x14ac:dyDescent="0.3">
      <c r="A8" s="13"/>
      <c r="B8" s="13"/>
    </row>
    <row r="9" spans="1:13" x14ac:dyDescent="0.3">
      <c r="A9" s="12" t="s">
        <v>88</v>
      </c>
      <c r="B9" s="13"/>
    </row>
    <row r="10" spans="1:13" x14ac:dyDescent="0.3">
      <c r="A10" s="13" t="s">
        <v>89</v>
      </c>
      <c r="B10" s="13" t="s">
        <v>83</v>
      </c>
      <c r="C10" s="10">
        <f>IF($C$6&lt;$C$3,$C$6,C$3)</f>
        <v>10</v>
      </c>
      <c r="D10" s="10">
        <f>IF(C10=0,0,IF(C10-1&lt;D$3,C10-1,D$3))</f>
        <v>9</v>
      </c>
      <c r="E10" s="10">
        <f t="shared" ref="E10:M10" si="0">IF(D10=0,0,IF(D10-1&lt;E$3,D10-1,E$3))</f>
        <v>8</v>
      </c>
      <c r="F10" s="10">
        <f t="shared" si="0"/>
        <v>7</v>
      </c>
      <c r="G10" s="10">
        <f t="shared" si="0"/>
        <v>6</v>
      </c>
      <c r="H10" s="10">
        <f t="shared" si="0"/>
        <v>5</v>
      </c>
      <c r="I10" s="10">
        <f t="shared" si="0"/>
        <v>4</v>
      </c>
      <c r="J10" s="10">
        <f t="shared" si="0"/>
        <v>3</v>
      </c>
      <c r="K10" s="10">
        <f t="shared" si="0"/>
        <v>2</v>
      </c>
      <c r="L10" s="10">
        <f t="shared" si="0"/>
        <v>1</v>
      </c>
      <c r="M10" s="10">
        <f t="shared" si="0"/>
        <v>0</v>
      </c>
    </row>
    <row r="11" spans="1:13" x14ac:dyDescent="0.3">
      <c r="A11" s="13" t="s">
        <v>90</v>
      </c>
      <c r="B11" s="13" t="s">
        <v>91</v>
      </c>
      <c r="C11" s="10">
        <f>'Modèle de base (CM 2003)'!C14</f>
        <v>49760265</v>
      </c>
      <c r="D11" s="10">
        <f>C15</f>
        <v>44784238.5</v>
      </c>
      <c r="E11" s="10">
        <f t="shared" ref="E11:M11" si="1">D15</f>
        <v>39808212</v>
      </c>
      <c r="F11" s="10">
        <f t="shared" si="1"/>
        <v>34832185.5</v>
      </c>
      <c r="G11" s="10">
        <f t="shared" si="1"/>
        <v>29856159</v>
      </c>
      <c r="H11" s="10">
        <f t="shared" si="1"/>
        <v>24880132.5</v>
      </c>
      <c r="I11" s="10">
        <f t="shared" si="1"/>
        <v>19904106</v>
      </c>
      <c r="J11" s="10">
        <f t="shared" si="1"/>
        <v>14928079.5</v>
      </c>
      <c r="K11" s="10">
        <f t="shared" si="1"/>
        <v>9952053</v>
      </c>
      <c r="L11" s="10">
        <f t="shared" si="1"/>
        <v>4976026.5</v>
      </c>
      <c r="M11" s="10">
        <f t="shared" si="1"/>
        <v>0</v>
      </c>
    </row>
    <row r="12" spans="1:13" x14ac:dyDescent="0.3">
      <c r="A12" s="13" t="s">
        <v>92</v>
      </c>
      <c r="B12" s="13" t="s">
        <v>93</v>
      </c>
      <c r="C12" s="8">
        <f>IF(C10=0,0,1/C10)</f>
        <v>0.1</v>
      </c>
      <c r="D12" s="8">
        <f t="shared" ref="D12:L12" si="2">IF(D10=0,0,1/D10)</f>
        <v>0.1111111111111111</v>
      </c>
      <c r="E12" s="8">
        <f t="shared" si="2"/>
        <v>0.125</v>
      </c>
      <c r="F12" s="8">
        <f t="shared" si="2"/>
        <v>0.14285714285714285</v>
      </c>
      <c r="G12" s="8">
        <f t="shared" si="2"/>
        <v>0.16666666666666666</v>
      </c>
      <c r="H12" s="8">
        <f t="shared" si="2"/>
        <v>0.2</v>
      </c>
      <c r="I12" s="8">
        <f t="shared" si="2"/>
        <v>0.25</v>
      </c>
      <c r="J12" s="8">
        <f t="shared" si="2"/>
        <v>0.33333333333333331</v>
      </c>
      <c r="K12" s="8">
        <f t="shared" si="2"/>
        <v>0.5</v>
      </c>
      <c r="L12" s="8">
        <f t="shared" si="2"/>
        <v>1</v>
      </c>
    </row>
    <row r="13" spans="1:13" x14ac:dyDescent="0.3">
      <c r="A13" s="13" t="s">
        <v>94</v>
      </c>
      <c r="B13" s="13" t="s">
        <v>93</v>
      </c>
      <c r="C13" s="8">
        <f>IF(C10=0,0,IF($C$7*1/$C$6&gt;C12,$C$7*1/$C$6,C12))</f>
        <v>0.1</v>
      </c>
      <c r="D13" s="8">
        <f t="shared" ref="D13:M13" si="3">IF(D10=0,0,IF($C$7*1/$C$6&gt;D12,$C$7*1/$C$6,D12))</f>
        <v>0.1111111111111111</v>
      </c>
      <c r="E13" s="8">
        <f t="shared" si="3"/>
        <v>0.125</v>
      </c>
      <c r="F13" s="8">
        <f t="shared" si="3"/>
        <v>0.14285714285714285</v>
      </c>
      <c r="G13" s="8">
        <f t="shared" si="3"/>
        <v>0.16666666666666666</v>
      </c>
      <c r="H13" s="8">
        <f t="shared" si="3"/>
        <v>0.2</v>
      </c>
      <c r="I13" s="8">
        <f t="shared" si="3"/>
        <v>0.25</v>
      </c>
      <c r="J13" s="8">
        <f t="shared" si="3"/>
        <v>0.33333333333333331</v>
      </c>
      <c r="K13" s="8">
        <f t="shared" si="3"/>
        <v>0.5</v>
      </c>
      <c r="L13" s="8">
        <f t="shared" si="3"/>
        <v>1</v>
      </c>
      <c r="M13" s="10">
        <f t="shared" si="3"/>
        <v>0</v>
      </c>
    </row>
    <row r="14" spans="1:13" x14ac:dyDescent="0.3">
      <c r="A14" s="13" t="s">
        <v>95</v>
      </c>
      <c r="B14" s="13" t="s">
        <v>91</v>
      </c>
      <c r="C14" s="10">
        <f>C11*C13</f>
        <v>4976026.5</v>
      </c>
      <c r="D14" s="10">
        <f t="shared" ref="D14:M14" si="4">D11*D13</f>
        <v>4976026.5</v>
      </c>
      <c r="E14" s="10">
        <f t="shared" si="4"/>
        <v>4976026.5</v>
      </c>
      <c r="F14" s="10">
        <f t="shared" si="4"/>
        <v>4976026.5</v>
      </c>
      <c r="G14" s="10">
        <f t="shared" si="4"/>
        <v>4976026.5</v>
      </c>
      <c r="H14" s="10">
        <f t="shared" si="4"/>
        <v>4976026.5</v>
      </c>
      <c r="I14" s="10">
        <f t="shared" si="4"/>
        <v>4976026.5</v>
      </c>
      <c r="J14" s="10">
        <f t="shared" si="4"/>
        <v>4976026.5</v>
      </c>
      <c r="K14" s="10">
        <f t="shared" si="4"/>
        <v>4976026.5</v>
      </c>
      <c r="L14" s="10">
        <f t="shared" si="4"/>
        <v>4976026.5</v>
      </c>
      <c r="M14" s="10">
        <f t="shared" si="4"/>
        <v>0</v>
      </c>
    </row>
    <row r="15" spans="1:13" x14ac:dyDescent="0.3">
      <c r="A15" s="13" t="s">
        <v>96</v>
      </c>
      <c r="B15" s="13" t="s">
        <v>91</v>
      </c>
      <c r="C15" s="10">
        <f>C11-C14</f>
        <v>44784238.5</v>
      </c>
      <c r="D15" s="10">
        <f t="shared" ref="D15:M15" si="5">D11-D14</f>
        <v>39808212</v>
      </c>
      <c r="E15" s="10">
        <f t="shared" si="5"/>
        <v>34832185.5</v>
      </c>
      <c r="F15" s="10">
        <f t="shared" si="5"/>
        <v>29856159</v>
      </c>
      <c r="G15" s="10">
        <f t="shared" si="5"/>
        <v>24880132.5</v>
      </c>
      <c r="H15" s="10">
        <f t="shared" si="5"/>
        <v>19904106</v>
      </c>
      <c r="I15" s="10">
        <f t="shared" si="5"/>
        <v>14928079.5</v>
      </c>
      <c r="J15" s="10">
        <f t="shared" si="5"/>
        <v>9952053</v>
      </c>
      <c r="K15" s="10">
        <f t="shared" si="5"/>
        <v>4976026.5</v>
      </c>
      <c r="L15" s="10">
        <f t="shared" si="5"/>
        <v>0</v>
      </c>
      <c r="M15" s="10">
        <f t="shared" si="5"/>
        <v>0</v>
      </c>
    </row>
    <row r="16" spans="1:13" x14ac:dyDescent="0.3">
      <c r="A16" s="13"/>
      <c r="B16" s="13"/>
    </row>
    <row r="17" spans="1:13" x14ac:dyDescent="0.3">
      <c r="A17" s="12" t="s">
        <v>97</v>
      </c>
      <c r="B17" s="13"/>
    </row>
    <row r="18" spans="1:13" x14ac:dyDescent="0.3">
      <c r="A18" s="13" t="s">
        <v>89</v>
      </c>
      <c r="B18" s="13" t="s">
        <v>83</v>
      </c>
      <c r="D18" s="10">
        <f>IF($C$6&lt;D$3,$C$6,D$3)</f>
        <v>10</v>
      </c>
      <c r="E18" s="10">
        <f>IF(D18=0,0,IF(D18-1&lt;E$3,D18-1,E$3))</f>
        <v>9</v>
      </c>
      <c r="F18" s="10">
        <f t="shared" ref="F18:M18" si="6">IF(E18=0,0,IF(E18-1&lt;F$3,E18-1,F$3))</f>
        <v>8</v>
      </c>
      <c r="G18" s="10">
        <f t="shared" si="6"/>
        <v>7</v>
      </c>
      <c r="H18" s="10">
        <f t="shared" si="6"/>
        <v>6</v>
      </c>
      <c r="I18" s="10">
        <f t="shared" si="6"/>
        <v>5</v>
      </c>
      <c r="J18" s="10">
        <f t="shared" si="6"/>
        <v>4</v>
      </c>
      <c r="K18" s="10">
        <f t="shared" si="6"/>
        <v>3</v>
      </c>
      <c r="L18" s="10">
        <f t="shared" si="6"/>
        <v>2</v>
      </c>
      <c r="M18" s="10">
        <f t="shared" si="6"/>
        <v>1</v>
      </c>
    </row>
    <row r="19" spans="1:13" x14ac:dyDescent="0.3">
      <c r="A19" s="13" t="s">
        <v>90</v>
      </c>
      <c r="B19" s="13" t="s">
        <v>91</v>
      </c>
      <c r="D19" s="10">
        <f>'Modèle de base (CM 2003)'!D14</f>
        <v>116107284</v>
      </c>
      <c r="E19" s="10">
        <f>D23</f>
        <v>104496555.59999999</v>
      </c>
      <c r="F19" s="10">
        <f t="shared" ref="F19:M19" si="7">E23</f>
        <v>92885827.199999988</v>
      </c>
      <c r="G19" s="10">
        <f t="shared" si="7"/>
        <v>81275098.799999982</v>
      </c>
      <c r="H19" s="10">
        <f t="shared" si="7"/>
        <v>69664370.399999991</v>
      </c>
      <c r="I19" s="10">
        <f t="shared" si="7"/>
        <v>58053641.999999993</v>
      </c>
      <c r="J19" s="10">
        <f t="shared" si="7"/>
        <v>46442913.599999994</v>
      </c>
      <c r="K19" s="10">
        <f t="shared" si="7"/>
        <v>34832185.199999996</v>
      </c>
      <c r="L19" s="10">
        <f t="shared" si="7"/>
        <v>23221456.799999997</v>
      </c>
      <c r="M19" s="10">
        <f t="shared" si="7"/>
        <v>11610728.399999999</v>
      </c>
    </row>
    <row r="20" spans="1:13" x14ac:dyDescent="0.3">
      <c r="A20" s="13" t="s">
        <v>92</v>
      </c>
      <c r="B20" s="13" t="s">
        <v>93</v>
      </c>
      <c r="D20" s="8">
        <f>IF(D18=0,0,1/D18)</f>
        <v>0.1</v>
      </c>
      <c r="E20" s="8">
        <f t="shared" ref="E20:M20" si="8">IF(E18=0,0,1/E18)</f>
        <v>0.1111111111111111</v>
      </c>
      <c r="F20" s="8">
        <f t="shared" si="8"/>
        <v>0.125</v>
      </c>
      <c r="G20" s="8">
        <f t="shared" si="8"/>
        <v>0.14285714285714285</v>
      </c>
      <c r="H20" s="8">
        <f t="shared" si="8"/>
        <v>0.16666666666666666</v>
      </c>
      <c r="I20" s="8">
        <f t="shared" si="8"/>
        <v>0.2</v>
      </c>
      <c r="J20" s="8">
        <f t="shared" si="8"/>
        <v>0.25</v>
      </c>
      <c r="K20" s="8">
        <f t="shared" si="8"/>
        <v>0.33333333333333331</v>
      </c>
      <c r="L20" s="8">
        <f t="shared" si="8"/>
        <v>0.5</v>
      </c>
      <c r="M20" s="8">
        <f t="shared" si="8"/>
        <v>1</v>
      </c>
    </row>
    <row r="21" spans="1:13" x14ac:dyDescent="0.3">
      <c r="A21" s="13" t="s">
        <v>94</v>
      </c>
      <c r="B21" s="13" t="s">
        <v>93</v>
      </c>
      <c r="D21" s="8">
        <f>IF(D18=0,0,IF($C$7*1/$C$6&gt;D20,$C$7*1/$C$6,D20))</f>
        <v>0.1</v>
      </c>
      <c r="E21" s="8">
        <f t="shared" ref="E21:M21" si="9">IF(E18=0,0,IF($C$7*1/$C$6&gt;E20,$C$7*1/$C$6,E20))</f>
        <v>0.1111111111111111</v>
      </c>
      <c r="F21" s="8">
        <f t="shared" si="9"/>
        <v>0.125</v>
      </c>
      <c r="G21" s="8">
        <f t="shared" si="9"/>
        <v>0.14285714285714285</v>
      </c>
      <c r="H21" s="8">
        <f t="shared" si="9"/>
        <v>0.16666666666666666</v>
      </c>
      <c r="I21" s="8">
        <f t="shared" si="9"/>
        <v>0.2</v>
      </c>
      <c r="J21" s="8">
        <f t="shared" si="9"/>
        <v>0.25</v>
      </c>
      <c r="K21" s="8">
        <f t="shared" si="9"/>
        <v>0.33333333333333331</v>
      </c>
      <c r="L21" s="8">
        <f t="shared" si="9"/>
        <v>0.5</v>
      </c>
      <c r="M21" s="8">
        <f t="shared" si="9"/>
        <v>1</v>
      </c>
    </row>
    <row r="22" spans="1:13" x14ac:dyDescent="0.3">
      <c r="A22" s="13" t="s">
        <v>95</v>
      </c>
      <c r="B22" s="13" t="s">
        <v>91</v>
      </c>
      <c r="D22" s="10">
        <f>D19*D21</f>
        <v>11610728.4</v>
      </c>
      <c r="E22" s="10">
        <f t="shared" ref="E22:M22" si="10">E19*E21</f>
        <v>11610728.399999999</v>
      </c>
      <c r="F22" s="10">
        <f t="shared" si="10"/>
        <v>11610728.399999999</v>
      </c>
      <c r="G22" s="10">
        <f t="shared" si="10"/>
        <v>11610728.399999997</v>
      </c>
      <c r="H22" s="10">
        <f t="shared" si="10"/>
        <v>11610728.399999999</v>
      </c>
      <c r="I22" s="10">
        <f t="shared" si="10"/>
        <v>11610728.399999999</v>
      </c>
      <c r="J22" s="10">
        <f t="shared" si="10"/>
        <v>11610728.399999999</v>
      </c>
      <c r="K22" s="10">
        <f t="shared" si="10"/>
        <v>11610728.399999999</v>
      </c>
      <c r="L22" s="10">
        <f t="shared" si="10"/>
        <v>11610728.399999999</v>
      </c>
      <c r="M22" s="10">
        <f t="shared" si="10"/>
        <v>11610728.399999999</v>
      </c>
    </row>
    <row r="23" spans="1:13" x14ac:dyDescent="0.3">
      <c r="A23" s="13" t="s">
        <v>96</v>
      </c>
      <c r="B23" s="13" t="s">
        <v>91</v>
      </c>
      <c r="D23" s="10">
        <f>D19-D22</f>
        <v>104496555.59999999</v>
      </c>
      <c r="E23" s="10">
        <f t="shared" ref="E23:M23" si="11">E19-E22</f>
        <v>92885827.199999988</v>
      </c>
      <c r="F23" s="10">
        <f t="shared" si="11"/>
        <v>81275098.799999982</v>
      </c>
      <c r="G23" s="10">
        <f t="shared" si="11"/>
        <v>69664370.399999991</v>
      </c>
      <c r="H23" s="10">
        <f t="shared" si="11"/>
        <v>58053641.999999993</v>
      </c>
      <c r="I23" s="10">
        <f t="shared" si="11"/>
        <v>46442913.599999994</v>
      </c>
      <c r="J23" s="10">
        <f t="shared" si="11"/>
        <v>34832185.199999996</v>
      </c>
      <c r="K23" s="10">
        <f t="shared" si="11"/>
        <v>23221456.799999997</v>
      </c>
      <c r="L23" s="10">
        <f t="shared" si="11"/>
        <v>11610728.399999999</v>
      </c>
      <c r="M23" s="10">
        <f t="shared" si="11"/>
        <v>0</v>
      </c>
    </row>
    <row r="24" spans="1:13" x14ac:dyDescent="0.3">
      <c r="A24" s="13"/>
      <c r="B24" s="13"/>
    </row>
    <row r="25" spans="1:13" x14ac:dyDescent="0.3">
      <c r="A25" s="12" t="s">
        <v>98</v>
      </c>
      <c r="B25" s="13" t="s">
        <v>91</v>
      </c>
      <c r="C25" s="10">
        <f>C$14+C$22</f>
        <v>4976026.5</v>
      </c>
      <c r="D25" s="10">
        <f t="shared" ref="D25:M25" si="12">D$14+D$22</f>
        <v>16586754.9</v>
      </c>
      <c r="E25" s="10">
        <f t="shared" si="12"/>
        <v>16586754.899999999</v>
      </c>
      <c r="F25" s="10">
        <f t="shared" si="12"/>
        <v>16586754.899999999</v>
      </c>
      <c r="G25" s="10">
        <f t="shared" si="12"/>
        <v>16586754.899999997</v>
      </c>
      <c r="H25" s="10">
        <f t="shared" si="12"/>
        <v>16586754.899999999</v>
      </c>
      <c r="I25" s="10">
        <f t="shared" si="12"/>
        <v>16586754.899999999</v>
      </c>
      <c r="J25" s="10">
        <f t="shared" si="12"/>
        <v>16586754.899999999</v>
      </c>
      <c r="K25" s="10">
        <f t="shared" si="12"/>
        <v>16586754.899999999</v>
      </c>
      <c r="L25" s="10">
        <f t="shared" si="12"/>
        <v>16586754.899999999</v>
      </c>
      <c r="M25" s="10">
        <f t="shared" si="12"/>
        <v>11610728.399999999</v>
      </c>
    </row>
    <row r="26" spans="1:13" x14ac:dyDescent="0.3">
      <c r="A26" s="13"/>
      <c r="B26" s="13"/>
    </row>
    <row r="27" spans="1:13" x14ac:dyDescent="0.3">
      <c r="A27" s="15" t="s">
        <v>99</v>
      </c>
      <c r="B27" s="16"/>
    </row>
    <row r="28" spans="1:13" x14ac:dyDescent="0.3">
      <c r="A28" s="12" t="s">
        <v>85</v>
      </c>
      <c r="B28" s="13" t="s">
        <v>83</v>
      </c>
      <c r="C28" s="17">
        <v>5</v>
      </c>
    </row>
    <row r="29" spans="1:13" x14ac:dyDescent="0.3">
      <c r="A29" s="12" t="s">
        <v>86</v>
      </c>
      <c r="B29" s="13" t="s">
        <v>87</v>
      </c>
      <c r="C29" s="17">
        <v>2</v>
      </c>
    </row>
    <row r="30" spans="1:13" x14ac:dyDescent="0.3">
      <c r="A30" s="13"/>
      <c r="B30" s="13"/>
    </row>
    <row r="31" spans="1:13" x14ac:dyDescent="0.3">
      <c r="A31" s="12" t="s">
        <v>88</v>
      </c>
      <c r="B31" s="13"/>
    </row>
    <row r="32" spans="1:13" x14ac:dyDescent="0.3">
      <c r="A32" s="13" t="s">
        <v>89</v>
      </c>
      <c r="B32" s="13" t="s">
        <v>83</v>
      </c>
      <c r="C32" s="10">
        <f>IF($C$28&lt;C$3,$C$28,C$3)</f>
        <v>5</v>
      </c>
      <c r="D32" s="10">
        <f>IF(C32=0,0,IF(C32-1&lt;D$3,C32-1,D$3))</f>
        <v>4</v>
      </c>
      <c r="E32" s="10">
        <f t="shared" ref="E32:M32" si="13">IF(D32=0,0,IF(D32-1&lt;E$3,D32-1,E$3))</f>
        <v>3</v>
      </c>
      <c r="F32" s="10">
        <f t="shared" si="13"/>
        <v>2</v>
      </c>
      <c r="G32" s="10">
        <f t="shared" si="13"/>
        <v>1</v>
      </c>
      <c r="H32" s="10">
        <f t="shared" si="13"/>
        <v>0</v>
      </c>
      <c r="I32" s="10">
        <f t="shared" si="13"/>
        <v>0</v>
      </c>
      <c r="J32" s="10">
        <f>IF(I32=0,0,IF(I32-1&lt;J$3,I32-1,J$3))</f>
        <v>0</v>
      </c>
      <c r="K32" s="10">
        <f t="shared" si="13"/>
        <v>0</v>
      </c>
      <c r="L32" s="10">
        <f t="shared" si="13"/>
        <v>0</v>
      </c>
      <c r="M32" s="10">
        <f t="shared" si="13"/>
        <v>0</v>
      </c>
    </row>
    <row r="33" spans="1:13" x14ac:dyDescent="0.3">
      <c r="A33" s="13" t="s">
        <v>90</v>
      </c>
      <c r="B33" s="13" t="s">
        <v>91</v>
      </c>
      <c r="C33" s="10">
        <f>'Modèle de base (CM 2003)'!C15</f>
        <v>23685527</v>
      </c>
      <c r="D33" s="10">
        <f>C37</f>
        <v>14211316.199999999</v>
      </c>
      <c r="E33" s="10">
        <f t="shared" ref="E33:M33" si="14">D37</f>
        <v>8526789.7199999988</v>
      </c>
      <c r="F33" s="10">
        <f t="shared" si="14"/>
        <v>5116073.8319999985</v>
      </c>
      <c r="G33" s="10">
        <f t="shared" si="14"/>
        <v>2558036.9159999993</v>
      </c>
      <c r="H33" s="10">
        <f t="shared" si="14"/>
        <v>0</v>
      </c>
      <c r="I33" s="10">
        <f t="shared" si="14"/>
        <v>0</v>
      </c>
      <c r="J33" s="10">
        <f t="shared" si="14"/>
        <v>0</v>
      </c>
      <c r="K33" s="10">
        <f t="shared" si="14"/>
        <v>0</v>
      </c>
      <c r="L33" s="10">
        <f t="shared" si="14"/>
        <v>0</v>
      </c>
      <c r="M33" s="10">
        <f t="shared" si="14"/>
        <v>0</v>
      </c>
    </row>
    <row r="34" spans="1:13" x14ac:dyDescent="0.3">
      <c r="A34" s="13" t="s">
        <v>92</v>
      </c>
      <c r="B34" s="13" t="s">
        <v>93</v>
      </c>
      <c r="C34" s="8">
        <f>IF(C32=0,0,1/C32)</f>
        <v>0.2</v>
      </c>
      <c r="D34" s="8">
        <f t="shared" ref="D34:M34" si="15">IF(D32=0,0,1/D32)</f>
        <v>0.25</v>
      </c>
      <c r="E34" s="8">
        <f t="shared" si="15"/>
        <v>0.33333333333333331</v>
      </c>
      <c r="F34" s="8">
        <f t="shared" si="15"/>
        <v>0.5</v>
      </c>
      <c r="G34" s="8">
        <f t="shared" si="15"/>
        <v>1</v>
      </c>
      <c r="H34" s="10">
        <f t="shared" si="15"/>
        <v>0</v>
      </c>
      <c r="I34" s="10">
        <f t="shared" si="15"/>
        <v>0</v>
      </c>
      <c r="J34" s="10">
        <f t="shared" si="15"/>
        <v>0</v>
      </c>
      <c r="K34" s="10">
        <f t="shared" si="15"/>
        <v>0</v>
      </c>
      <c r="L34" s="10">
        <f t="shared" si="15"/>
        <v>0</v>
      </c>
      <c r="M34" s="10">
        <f t="shared" si="15"/>
        <v>0</v>
      </c>
    </row>
    <row r="35" spans="1:13" x14ac:dyDescent="0.3">
      <c r="A35" s="13" t="s">
        <v>94</v>
      </c>
      <c r="B35" s="13" t="s">
        <v>93</v>
      </c>
      <c r="C35" s="8">
        <f>IF(C32=0,0,IF($C$29*1/$C$28&gt;C34,$C$29*1/$C$28,C34))</f>
        <v>0.4</v>
      </c>
      <c r="D35" s="8">
        <f t="shared" ref="D35:M35" si="16">IF(D32=0,0,IF($C$29*1/$C$28&gt;D34,$C$29*1/$C$28,D34))</f>
        <v>0.4</v>
      </c>
      <c r="E35" s="8">
        <f t="shared" si="16"/>
        <v>0.4</v>
      </c>
      <c r="F35" s="8">
        <f t="shared" si="16"/>
        <v>0.5</v>
      </c>
      <c r="G35" s="8">
        <f t="shared" si="16"/>
        <v>1</v>
      </c>
      <c r="H35" s="10">
        <f t="shared" si="16"/>
        <v>0</v>
      </c>
      <c r="I35" s="10">
        <f t="shared" si="16"/>
        <v>0</v>
      </c>
      <c r="J35" s="10">
        <f t="shared" si="16"/>
        <v>0</v>
      </c>
      <c r="K35" s="10">
        <f t="shared" si="16"/>
        <v>0</v>
      </c>
      <c r="L35" s="10">
        <f t="shared" si="16"/>
        <v>0</v>
      </c>
      <c r="M35" s="10">
        <f t="shared" si="16"/>
        <v>0</v>
      </c>
    </row>
    <row r="36" spans="1:13" x14ac:dyDescent="0.3">
      <c r="A36" s="13" t="s">
        <v>95</v>
      </c>
      <c r="B36" s="13" t="s">
        <v>91</v>
      </c>
      <c r="C36" s="10">
        <f>C33*C35</f>
        <v>9474210.8000000007</v>
      </c>
      <c r="D36" s="10">
        <f t="shared" ref="D36:M36" si="17">D33*D35</f>
        <v>5684526.4800000004</v>
      </c>
      <c r="E36" s="10">
        <f t="shared" si="17"/>
        <v>3410715.8879999998</v>
      </c>
      <c r="F36" s="10">
        <f t="shared" si="17"/>
        <v>2558036.9159999993</v>
      </c>
      <c r="G36" s="10">
        <f t="shared" si="17"/>
        <v>2558036.9159999993</v>
      </c>
      <c r="H36" s="10">
        <f t="shared" si="17"/>
        <v>0</v>
      </c>
      <c r="I36" s="10">
        <f t="shared" si="17"/>
        <v>0</v>
      </c>
      <c r="J36" s="10">
        <f t="shared" si="17"/>
        <v>0</v>
      </c>
      <c r="K36" s="10">
        <f t="shared" si="17"/>
        <v>0</v>
      </c>
      <c r="L36" s="10">
        <f t="shared" si="17"/>
        <v>0</v>
      </c>
      <c r="M36" s="10">
        <f t="shared" si="17"/>
        <v>0</v>
      </c>
    </row>
    <row r="37" spans="1:13" x14ac:dyDescent="0.3">
      <c r="A37" s="13" t="s">
        <v>96</v>
      </c>
      <c r="B37" s="13" t="s">
        <v>91</v>
      </c>
      <c r="C37" s="10">
        <f>C33-C36</f>
        <v>14211316.199999999</v>
      </c>
      <c r="D37" s="10">
        <f t="shared" ref="D37:M37" si="18">D33-D36</f>
        <v>8526789.7199999988</v>
      </c>
      <c r="E37" s="10">
        <f t="shared" si="18"/>
        <v>5116073.8319999985</v>
      </c>
      <c r="F37" s="10">
        <f t="shared" si="18"/>
        <v>2558036.9159999993</v>
      </c>
      <c r="G37" s="10">
        <f t="shared" si="18"/>
        <v>0</v>
      </c>
      <c r="H37" s="10">
        <f t="shared" si="18"/>
        <v>0</v>
      </c>
      <c r="I37" s="10">
        <f t="shared" si="18"/>
        <v>0</v>
      </c>
      <c r="J37" s="10">
        <f t="shared" si="18"/>
        <v>0</v>
      </c>
      <c r="K37" s="10">
        <f t="shared" si="18"/>
        <v>0</v>
      </c>
      <c r="L37" s="10">
        <f t="shared" si="18"/>
        <v>0</v>
      </c>
      <c r="M37" s="10">
        <f t="shared" si="18"/>
        <v>0</v>
      </c>
    </row>
    <row r="38" spans="1:13" x14ac:dyDescent="0.3">
      <c r="A38" s="13"/>
      <c r="B38" s="13"/>
    </row>
    <row r="39" spans="1:13" x14ac:dyDescent="0.3">
      <c r="A39" s="12" t="s">
        <v>97</v>
      </c>
      <c r="B39" s="13"/>
    </row>
    <row r="40" spans="1:13" x14ac:dyDescent="0.3">
      <c r="A40" s="13" t="s">
        <v>89</v>
      </c>
      <c r="B40" s="13" t="s">
        <v>83</v>
      </c>
      <c r="D40" s="10">
        <f>IF($C$28&lt;D$3,$C$28,D$3)</f>
        <v>5</v>
      </c>
      <c r="E40" s="10">
        <f>IF(D40=0,0,IF(D40-1&lt;E$3,D40-1,E$3))</f>
        <v>4</v>
      </c>
      <c r="F40" s="10">
        <f t="shared" ref="F40:M40" si="19">IF(E40=0,0,IF(E40-1&lt;F$3,E40-1,F$3))</f>
        <v>3</v>
      </c>
      <c r="G40" s="10">
        <f t="shared" si="19"/>
        <v>2</v>
      </c>
      <c r="H40" s="10">
        <f t="shared" si="19"/>
        <v>1</v>
      </c>
      <c r="I40" s="10">
        <f t="shared" si="19"/>
        <v>0</v>
      </c>
      <c r="J40" s="10">
        <f t="shared" si="19"/>
        <v>0</v>
      </c>
      <c r="K40" s="10">
        <f t="shared" si="19"/>
        <v>0</v>
      </c>
      <c r="L40" s="10">
        <f t="shared" si="19"/>
        <v>0</v>
      </c>
      <c r="M40" s="10">
        <f t="shared" si="19"/>
        <v>0</v>
      </c>
    </row>
    <row r="41" spans="1:13" x14ac:dyDescent="0.3">
      <c r="A41" s="13" t="s">
        <v>90</v>
      </c>
      <c r="B41" s="13" t="s">
        <v>91</v>
      </c>
      <c r="D41" s="10">
        <f>'Modèle de base (CM 2003)'!D15</f>
        <v>125300533</v>
      </c>
      <c r="E41" s="10">
        <f>D45</f>
        <v>75180319.799999997</v>
      </c>
      <c r="F41" s="10">
        <f t="shared" ref="F41:M41" si="20">E45</f>
        <v>45108191.879999995</v>
      </c>
      <c r="G41" s="10">
        <f t="shared" si="20"/>
        <v>27064915.127999995</v>
      </c>
      <c r="H41" s="10">
        <f t="shared" si="20"/>
        <v>13532457.563999997</v>
      </c>
      <c r="I41" s="10">
        <f t="shared" si="20"/>
        <v>0</v>
      </c>
      <c r="J41" s="10">
        <f t="shared" si="20"/>
        <v>0</v>
      </c>
      <c r="K41" s="10">
        <f t="shared" si="20"/>
        <v>0</v>
      </c>
      <c r="L41" s="10">
        <f t="shared" si="20"/>
        <v>0</v>
      </c>
      <c r="M41" s="10">
        <f t="shared" si="20"/>
        <v>0</v>
      </c>
    </row>
    <row r="42" spans="1:13" x14ac:dyDescent="0.3">
      <c r="A42" s="13" t="s">
        <v>92</v>
      </c>
      <c r="B42" s="13" t="s">
        <v>93</v>
      </c>
      <c r="D42" s="8">
        <f>IF(D40=0,0,1/D40)</f>
        <v>0.2</v>
      </c>
      <c r="E42" s="8">
        <f t="shared" ref="E42:M42" si="21">IF(E40=0,0,1/E40)</f>
        <v>0.25</v>
      </c>
      <c r="F42" s="8">
        <f t="shared" si="21"/>
        <v>0.33333333333333331</v>
      </c>
      <c r="G42" s="8">
        <f t="shared" si="21"/>
        <v>0.5</v>
      </c>
      <c r="H42" s="8">
        <f t="shared" si="21"/>
        <v>1</v>
      </c>
      <c r="I42" s="10">
        <f t="shared" si="21"/>
        <v>0</v>
      </c>
      <c r="J42" s="10">
        <f t="shared" si="21"/>
        <v>0</v>
      </c>
      <c r="K42" s="10">
        <f t="shared" si="21"/>
        <v>0</v>
      </c>
      <c r="L42" s="10">
        <f t="shared" si="21"/>
        <v>0</v>
      </c>
      <c r="M42" s="10">
        <f t="shared" si="21"/>
        <v>0</v>
      </c>
    </row>
    <row r="43" spans="1:13" x14ac:dyDescent="0.3">
      <c r="A43" s="13" t="s">
        <v>94</v>
      </c>
      <c r="B43" s="13" t="s">
        <v>93</v>
      </c>
      <c r="D43" s="8">
        <f>IF(D40=0,0,IF($C$29*1/$C$28&gt;D42,$C$29*1/$C$28,D42))</f>
        <v>0.4</v>
      </c>
      <c r="E43" s="8">
        <f t="shared" ref="E43:M43" si="22">IF(E40=0,0,IF($C$29*1/$C$28&gt;E42,$C$29*1/$C$28,E42))</f>
        <v>0.4</v>
      </c>
      <c r="F43" s="8">
        <f t="shared" si="22"/>
        <v>0.4</v>
      </c>
      <c r="G43" s="8">
        <f t="shared" si="22"/>
        <v>0.5</v>
      </c>
      <c r="H43" s="8">
        <f t="shared" si="22"/>
        <v>1</v>
      </c>
      <c r="I43" s="10">
        <f t="shared" si="22"/>
        <v>0</v>
      </c>
      <c r="J43" s="10">
        <f t="shared" si="22"/>
        <v>0</v>
      </c>
      <c r="K43" s="10">
        <f t="shared" si="22"/>
        <v>0</v>
      </c>
      <c r="L43" s="10">
        <f t="shared" si="22"/>
        <v>0</v>
      </c>
      <c r="M43" s="10">
        <f t="shared" si="22"/>
        <v>0</v>
      </c>
    </row>
    <row r="44" spans="1:13" x14ac:dyDescent="0.3">
      <c r="A44" s="13" t="s">
        <v>95</v>
      </c>
      <c r="B44" s="13" t="s">
        <v>91</v>
      </c>
      <c r="D44" s="10">
        <f>D41*D43</f>
        <v>50120213.200000003</v>
      </c>
      <c r="E44" s="10">
        <f t="shared" ref="E44:M44" si="23">E41*E43</f>
        <v>30072127.920000002</v>
      </c>
      <c r="F44" s="10">
        <f t="shared" si="23"/>
        <v>18043276.752</v>
      </c>
      <c r="G44" s="10">
        <f t="shared" si="23"/>
        <v>13532457.563999997</v>
      </c>
      <c r="H44" s="10">
        <f t="shared" si="23"/>
        <v>13532457.563999997</v>
      </c>
      <c r="I44" s="10">
        <f t="shared" si="23"/>
        <v>0</v>
      </c>
      <c r="J44" s="10">
        <f t="shared" si="23"/>
        <v>0</v>
      </c>
      <c r="K44" s="10">
        <f t="shared" si="23"/>
        <v>0</v>
      </c>
      <c r="L44" s="10">
        <f t="shared" si="23"/>
        <v>0</v>
      </c>
      <c r="M44" s="10">
        <f t="shared" si="23"/>
        <v>0</v>
      </c>
    </row>
    <row r="45" spans="1:13" x14ac:dyDescent="0.3">
      <c r="A45" s="13" t="s">
        <v>96</v>
      </c>
      <c r="B45" s="13" t="s">
        <v>91</v>
      </c>
      <c r="D45" s="10">
        <f>D41-D44</f>
        <v>75180319.799999997</v>
      </c>
      <c r="E45" s="10">
        <f t="shared" ref="E45:M45" si="24">E41-E44</f>
        <v>45108191.879999995</v>
      </c>
      <c r="F45" s="10">
        <f t="shared" si="24"/>
        <v>27064915.127999995</v>
      </c>
      <c r="G45" s="10">
        <f t="shared" si="24"/>
        <v>13532457.563999997</v>
      </c>
      <c r="H45" s="10">
        <f t="shared" si="24"/>
        <v>0</v>
      </c>
      <c r="I45" s="10">
        <f t="shared" si="24"/>
        <v>0</v>
      </c>
      <c r="J45" s="10">
        <f t="shared" si="24"/>
        <v>0</v>
      </c>
      <c r="K45" s="10">
        <f t="shared" si="24"/>
        <v>0</v>
      </c>
      <c r="L45" s="10">
        <f t="shared" si="24"/>
        <v>0</v>
      </c>
      <c r="M45" s="10">
        <f t="shared" si="24"/>
        <v>0</v>
      </c>
    </row>
    <row r="46" spans="1:13" x14ac:dyDescent="0.3">
      <c r="A46" s="13"/>
      <c r="B46" s="13"/>
    </row>
    <row r="47" spans="1:13" x14ac:dyDescent="0.3">
      <c r="A47" s="12" t="s">
        <v>100</v>
      </c>
      <c r="B47" s="13"/>
    </row>
    <row r="48" spans="1:13" x14ac:dyDescent="0.3">
      <c r="A48" s="13" t="s">
        <v>89</v>
      </c>
      <c r="B48" s="13" t="s">
        <v>83</v>
      </c>
      <c r="E48" s="10">
        <f>IF($C$28&lt;E$3,$C$28,E$3)</f>
        <v>5</v>
      </c>
      <c r="F48" s="10">
        <f>IF(E48=0,0,IF(E48-1&lt;F$3,E48-1,F$3))</f>
        <v>4</v>
      </c>
      <c r="G48" s="10">
        <f t="shared" ref="G48:M48" si="25">IF(F48=0,0,IF(F48-1&lt;G$3,F48-1,G$3))</f>
        <v>3</v>
      </c>
      <c r="H48" s="10">
        <f t="shared" si="25"/>
        <v>2</v>
      </c>
      <c r="I48" s="10">
        <f t="shared" si="25"/>
        <v>1</v>
      </c>
      <c r="J48" s="10">
        <f t="shared" si="25"/>
        <v>0</v>
      </c>
      <c r="K48" s="10">
        <f t="shared" si="25"/>
        <v>0</v>
      </c>
      <c r="L48" s="10">
        <f t="shared" si="25"/>
        <v>0</v>
      </c>
      <c r="M48" s="10">
        <f t="shared" si="25"/>
        <v>0</v>
      </c>
    </row>
    <row r="49" spans="1:13" x14ac:dyDescent="0.3">
      <c r="A49" s="13" t="s">
        <v>90</v>
      </c>
      <c r="B49" s="13" t="s">
        <v>91</v>
      </c>
      <c r="E49" s="10">
        <f>'Modèle de base (CM 2003)'!E15</f>
        <v>11632917</v>
      </c>
      <c r="F49" s="10">
        <f>E53</f>
        <v>6979750.2000000002</v>
      </c>
      <c r="G49" s="10">
        <f t="shared" ref="G49:M49" si="26">F53</f>
        <v>4187850.12</v>
      </c>
      <c r="H49" s="10">
        <f t="shared" si="26"/>
        <v>2512710.0719999997</v>
      </c>
      <c r="I49" s="10">
        <f t="shared" si="26"/>
        <v>1256355.0359999998</v>
      </c>
      <c r="J49" s="10">
        <f t="shared" si="26"/>
        <v>0</v>
      </c>
      <c r="K49" s="10">
        <f t="shared" si="26"/>
        <v>0</v>
      </c>
      <c r="L49" s="10">
        <f t="shared" si="26"/>
        <v>0</v>
      </c>
      <c r="M49" s="10">
        <f t="shared" si="26"/>
        <v>0</v>
      </c>
    </row>
    <row r="50" spans="1:13" x14ac:dyDescent="0.3">
      <c r="A50" s="13" t="s">
        <v>92</v>
      </c>
      <c r="B50" s="13" t="s">
        <v>93</v>
      </c>
      <c r="E50" s="8">
        <f>IF(E48=0,0,1/E48)</f>
        <v>0.2</v>
      </c>
      <c r="F50" s="8">
        <f t="shared" ref="F50:M50" si="27">IF(F48=0,0,1/F48)</f>
        <v>0.25</v>
      </c>
      <c r="G50" s="8">
        <f t="shared" si="27"/>
        <v>0.33333333333333331</v>
      </c>
      <c r="H50" s="8">
        <f t="shared" si="27"/>
        <v>0.5</v>
      </c>
      <c r="I50" s="8">
        <f t="shared" si="27"/>
        <v>1</v>
      </c>
      <c r="J50" s="10">
        <f t="shared" si="27"/>
        <v>0</v>
      </c>
      <c r="K50" s="10">
        <f t="shared" si="27"/>
        <v>0</v>
      </c>
      <c r="L50" s="10">
        <f t="shared" si="27"/>
        <v>0</v>
      </c>
      <c r="M50" s="10">
        <f t="shared" si="27"/>
        <v>0</v>
      </c>
    </row>
    <row r="51" spans="1:13" x14ac:dyDescent="0.3">
      <c r="A51" s="13" t="s">
        <v>94</v>
      </c>
      <c r="B51" s="13" t="s">
        <v>93</v>
      </c>
      <c r="E51" s="8">
        <f>IF(E48=0,0,IF($C$29*1/$C$28&gt;E50,$C$29*1/$C$28,E50))</f>
        <v>0.4</v>
      </c>
      <c r="F51" s="8">
        <f t="shared" ref="F51:M51" si="28">IF(F48=0,0,IF($C$29*1/$C$28&gt;F50,$C$29*1/$C$28,F50))</f>
        <v>0.4</v>
      </c>
      <c r="G51" s="8">
        <f t="shared" si="28"/>
        <v>0.4</v>
      </c>
      <c r="H51" s="8">
        <f t="shared" si="28"/>
        <v>0.5</v>
      </c>
      <c r="I51" s="8">
        <f t="shared" si="28"/>
        <v>1</v>
      </c>
      <c r="J51" s="10">
        <f t="shared" si="28"/>
        <v>0</v>
      </c>
      <c r="K51" s="10">
        <f t="shared" si="28"/>
        <v>0</v>
      </c>
      <c r="L51" s="10">
        <f t="shared" si="28"/>
        <v>0</v>
      </c>
      <c r="M51" s="10">
        <f t="shared" si="28"/>
        <v>0</v>
      </c>
    </row>
    <row r="52" spans="1:13" x14ac:dyDescent="0.3">
      <c r="A52" s="13" t="s">
        <v>95</v>
      </c>
      <c r="B52" s="13" t="s">
        <v>91</v>
      </c>
      <c r="E52" s="10">
        <f>E49*E51</f>
        <v>4653166.8</v>
      </c>
      <c r="F52" s="10">
        <f t="shared" ref="F52:M52" si="29">F49*F51</f>
        <v>2791900.08</v>
      </c>
      <c r="G52" s="10">
        <f t="shared" si="29"/>
        <v>1675140.0480000002</v>
      </c>
      <c r="H52" s="10">
        <f t="shared" si="29"/>
        <v>1256355.0359999998</v>
      </c>
      <c r="I52" s="10">
        <f t="shared" si="29"/>
        <v>1256355.0359999998</v>
      </c>
      <c r="J52" s="10">
        <f t="shared" si="29"/>
        <v>0</v>
      </c>
      <c r="K52" s="10">
        <f t="shared" si="29"/>
        <v>0</v>
      </c>
      <c r="L52" s="10">
        <f t="shared" si="29"/>
        <v>0</v>
      </c>
      <c r="M52" s="10">
        <f t="shared" si="29"/>
        <v>0</v>
      </c>
    </row>
    <row r="53" spans="1:13" x14ac:dyDescent="0.3">
      <c r="A53" s="13" t="s">
        <v>96</v>
      </c>
      <c r="B53" s="13" t="s">
        <v>91</v>
      </c>
      <c r="E53" s="10">
        <f>E49-E52</f>
        <v>6979750.2000000002</v>
      </c>
      <c r="F53" s="10">
        <f t="shared" ref="F53:M53" si="30">F49-F52</f>
        <v>4187850.12</v>
      </c>
      <c r="G53" s="10">
        <f t="shared" si="30"/>
        <v>2512710.0719999997</v>
      </c>
      <c r="H53" s="10">
        <f t="shared" si="30"/>
        <v>1256355.0359999998</v>
      </c>
      <c r="I53" s="10">
        <f t="shared" si="30"/>
        <v>0</v>
      </c>
      <c r="J53" s="10">
        <f t="shared" si="30"/>
        <v>0</v>
      </c>
      <c r="K53" s="10">
        <f t="shared" si="30"/>
        <v>0</v>
      </c>
      <c r="L53" s="10">
        <f t="shared" si="30"/>
        <v>0</v>
      </c>
      <c r="M53" s="10">
        <f t="shared" si="30"/>
        <v>0</v>
      </c>
    </row>
    <row r="54" spans="1:13" x14ac:dyDescent="0.3">
      <c r="A54" s="13"/>
      <c r="B54" s="13"/>
    </row>
    <row r="55" spans="1:13" x14ac:dyDescent="0.3">
      <c r="A55" s="12" t="s">
        <v>101</v>
      </c>
      <c r="B55" s="13"/>
    </row>
    <row r="56" spans="1:13" x14ac:dyDescent="0.3">
      <c r="A56" s="13" t="s">
        <v>89</v>
      </c>
      <c r="B56" s="13" t="s">
        <v>83</v>
      </c>
      <c r="F56" s="10">
        <f>IF($C$28&lt;F$3,$C$28,F$3)</f>
        <v>5</v>
      </c>
      <c r="G56" s="10">
        <f>IF(F56=0,0,IF(F56-1&lt;G$3,F56-1,G$3))</f>
        <v>4</v>
      </c>
      <c r="H56" s="10">
        <f t="shared" ref="H56:M56" si="31">IF(G56=0,0,IF(G56-1&lt;H$3,G56-1,H$3))</f>
        <v>3</v>
      </c>
      <c r="I56" s="10">
        <f t="shared" si="31"/>
        <v>2</v>
      </c>
      <c r="J56" s="10">
        <f t="shared" si="31"/>
        <v>1</v>
      </c>
      <c r="K56" s="10">
        <f t="shared" si="31"/>
        <v>0</v>
      </c>
      <c r="L56" s="10">
        <f t="shared" si="31"/>
        <v>0</v>
      </c>
      <c r="M56" s="10">
        <f t="shared" si="31"/>
        <v>0</v>
      </c>
    </row>
    <row r="57" spans="1:13" x14ac:dyDescent="0.3">
      <c r="A57" s="13" t="s">
        <v>90</v>
      </c>
      <c r="B57" s="13" t="s">
        <v>91</v>
      </c>
      <c r="F57" s="10">
        <f>'Modèle de base (CM 2003)'!F15</f>
        <v>3722927</v>
      </c>
      <c r="G57" s="10">
        <f>F61</f>
        <v>2233756.2000000002</v>
      </c>
      <c r="H57" s="10">
        <f t="shared" ref="H57:M57" si="32">G61</f>
        <v>1340253.7200000002</v>
      </c>
      <c r="I57" s="10">
        <f t="shared" si="32"/>
        <v>804152.23200000008</v>
      </c>
      <c r="J57" s="10">
        <f t="shared" si="32"/>
        <v>402076.11600000004</v>
      </c>
      <c r="K57" s="10">
        <f t="shared" si="32"/>
        <v>0</v>
      </c>
      <c r="L57" s="10">
        <f t="shared" si="32"/>
        <v>0</v>
      </c>
      <c r="M57" s="10">
        <f t="shared" si="32"/>
        <v>0</v>
      </c>
    </row>
    <row r="58" spans="1:13" x14ac:dyDescent="0.3">
      <c r="A58" s="13" t="s">
        <v>92</v>
      </c>
      <c r="B58" s="13" t="s">
        <v>93</v>
      </c>
      <c r="F58" s="8">
        <f>IF(F56=0,0,1/F56)</f>
        <v>0.2</v>
      </c>
      <c r="G58" s="8">
        <f t="shared" ref="G58:M58" si="33">IF(G56=0,0,1/G56)</f>
        <v>0.25</v>
      </c>
      <c r="H58" s="8">
        <f t="shared" si="33"/>
        <v>0.33333333333333331</v>
      </c>
      <c r="I58" s="8">
        <f t="shared" si="33"/>
        <v>0.5</v>
      </c>
      <c r="J58" s="8">
        <f t="shared" si="33"/>
        <v>1</v>
      </c>
      <c r="K58" s="10">
        <f t="shared" si="33"/>
        <v>0</v>
      </c>
      <c r="L58" s="10">
        <f t="shared" si="33"/>
        <v>0</v>
      </c>
      <c r="M58" s="10">
        <f t="shared" si="33"/>
        <v>0</v>
      </c>
    </row>
    <row r="59" spans="1:13" x14ac:dyDescent="0.3">
      <c r="A59" s="13" t="s">
        <v>94</v>
      </c>
      <c r="B59" s="13" t="s">
        <v>93</v>
      </c>
      <c r="F59" s="8">
        <f>IF(F56=0,0,IF($C$29*1/$C$28&gt;F58,$C$29*1/$C$28,F58))</f>
        <v>0.4</v>
      </c>
      <c r="G59" s="8">
        <f t="shared" ref="G59:M59" si="34">IF(G56=0,0,IF($C$29*1/$C$28&gt;G58,$C$29*1/$C$28,G58))</f>
        <v>0.4</v>
      </c>
      <c r="H59" s="8">
        <f t="shared" si="34"/>
        <v>0.4</v>
      </c>
      <c r="I59" s="8">
        <f t="shared" si="34"/>
        <v>0.5</v>
      </c>
      <c r="J59" s="8">
        <f t="shared" si="34"/>
        <v>1</v>
      </c>
      <c r="K59" s="10">
        <f t="shared" si="34"/>
        <v>0</v>
      </c>
      <c r="L59" s="10">
        <f t="shared" si="34"/>
        <v>0</v>
      </c>
      <c r="M59" s="10">
        <f t="shared" si="34"/>
        <v>0</v>
      </c>
    </row>
    <row r="60" spans="1:13" x14ac:dyDescent="0.3">
      <c r="A60" s="13" t="s">
        <v>95</v>
      </c>
      <c r="B60" s="13" t="s">
        <v>91</v>
      </c>
      <c r="F60" s="10">
        <f>F57*F59</f>
        <v>1489170.8</v>
      </c>
      <c r="G60" s="10">
        <f t="shared" ref="G60:M60" si="35">G57*G59</f>
        <v>893502.4800000001</v>
      </c>
      <c r="H60" s="10">
        <f t="shared" si="35"/>
        <v>536101.48800000013</v>
      </c>
      <c r="I60" s="10">
        <f t="shared" si="35"/>
        <v>402076.11600000004</v>
      </c>
      <c r="J60" s="10">
        <f t="shared" si="35"/>
        <v>402076.11600000004</v>
      </c>
      <c r="K60" s="10">
        <f t="shared" si="35"/>
        <v>0</v>
      </c>
      <c r="L60" s="10">
        <f t="shared" si="35"/>
        <v>0</v>
      </c>
      <c r="M60" s="10">
        <f t="shared" si="35"/>
        <v>0</v>
      </c>
    </row>
    <row r="61" spans="1:13" x14ac:dyDescent="0.3">
      <c r="A61" s="13" t="s">
        <v>96</v>
      </c>
      <c r="B61" s="13" t="s">
        <v>91</v>
      </c>
      <c r="F61" s="10">
        <f>F57-F60</f>
        <v>2233756.2000000002</v>
      </c>
      <c r="G61" s="10">
        <f t="shared" ref="G61:M61" si="36">G57-G60</f>
        <v>1340253.7200000002</v>
      </c>
      <c r="H61" s="10">
        <f t="shared" si="36"/>
        <v>804152.23200000008</v>
      </c>
      <c r="I61" s="10">
        <f t="shared" si="36"/>
        <v>402076.11600000004</v>
      </c>
      <c r="J61" s="10">
        <f t="shared" si="36"/>
        <v>0</v>
      </c>
      <c r="K61" s="10">
        <f t="shared" si="36"/>
        <v>0</v>
      </c>
      <c r="L61" s="10">
        <f t="shared" si="36"/>
        <v>0</v>
      </c>
      <c r="M61" s="10">
        <f t="shared" si="36"/>
        <v>0</v>
      </c>
    </row>
    <row r="62" spans="1:13" x14ac:dyDescent="0.3">
      <c r="A62" s="13"/>
      <c r="B62" s="13"/>
    </row>
    <row r="63" spans="1:13" x14ac:dyDescent="0.3">
      <c r="A63" s="12" t="s">
        <v>102</v>
      </c>
      <c r="B63" s="13"/>
    </row>
    <row r="64" spans="1:13" x14ac:dyDescent="0.3">
      <c r="A64" s="13" t="s">
        <v>89</v>
      </c>
      <c r="B64" s="13" t="s">
        <v>83</v>
      </c>
      <c r="G64" s="10">
        <f>IF($C$28&lt;G$3,$C$28,G$3)</f>
        <v>5</v>
      </c>
      <c r="H64" s="10">
        <f>IF(G64=0,0,IF(G64-1&lt;H$3,G64-1,H$3))</f>
        <v>4</v>
      </c>
      <c r="I64" s="10">
        <f t="shared" ref="I64:M64" si="37">IF(H64=0,0,IF(H64-1&lt;I$3,H64-1,I$3))</f>
        <v>3</v>
      </c>
      <c r="J64" s="10">
        <f t="shared" si="37"/>
        <v>2</v>
      </c>
      <c r="K64" s="10">
        <f t="shared" si="37"/>
        <v>1</v>
      </c>
      <c r="L64" s="10">
        <f t="shared" si="37"/>
        <v>0</v>
      </c>
      <c r="M64" s="10">
        <f t="shared" si="37"/>
        <v>0</v>
      </c>
    </row>
    <row r="65" spans="1:13" x14ac:dyDescent="0.3">
      <c r="A65" s="13" t="s">
        <v>90</v>
      </c>
      <c r="B65" s="13" t="s">
        <v>91</v>
      </c>
      <c r="G65" s="10">
        <f>'Modèle de base (CM 2003)'!G15</f>
        <v>18272647</v>
      </c>
      <c r="H65" s="10">
        <f>G69</f>
        <v>10963588.199999999</v>
      </c>
      <c r="I65" s="10">
        <f t="shared" ref="I65:M65" si="38">H69</f>
        <v>6578152.919999999</v>
      </c>
      <c r="J65" s="10">
        <f t="shared" si="38"/>
        <v>3946891.7519999994</v>
      </c>
      <c r="K65" s="10">
        <f t="shared" si="38"/>
        <v>1973445.8759999997</v>
      </c>
      <c r="L65" s="10">
        <f t="shared" si="38"/>
        <v>0</v>
      </c>
      <c r="M65" s="10">
        <f t="shared" si="38"/>
        <v>0</v>
      </c>
    </row>
    <row r="66" spans="1:13" x14ac:dyDescent="0.3">
      <c r="A66" s="13" t="s">
        <v>92</v>
      </c>
      <c r="B66" s="13" t="s">
        <v>93</v>
      </c>
      <c r="G66" s="8">
        <f>IF(G64=0,0,1/G64)</f>
        <v>0.2</v>
      </c>
      <c r="H66" s="8">
        <f t="shared" ref="H66:M66" si="39">IF(H64=0,0,1/H64)</f>
        <v>0.25</v>
      </c>
      <c r="I66" s="8">
        <f t="shared" si="39"/>
        <v>0.33333333333333331</v>
      </c>
      <c r="J66" s="8">
        <f t="shared" si="39"/>
        <v>0.5</v>
      </c>
      <c r="K66" s="8">
        <f t="shared" si="39"/>
        <v>1</v>
      </c>
      <c r="L66" s="10">
        <f t="shared" si="39"/>
        <v>0</v>
      </c>
      <c r="M66" s="10">
        <f t="shared" si="39"/>
        <v>0</v>
      </c>
    </row>
    <row r="67" spans="1:13" x14ac:dyDescent="0.3">
      <c r="A67" s="13" t="s">
        <v>94</v>
      </c>
      <c r="B67" s="13" t="s">
        <v>93</v>
      </c>
      <c r="G67" s="8">
        <f>IF(G64=0,0,IF($C$29*1/$C$28&gt;G66,$C$29*1/$C$28,G66))</f>
        <v>0.4</v>
      </c>
      <c r="H67" s="8">
        <f t="shared" ref="H67:M67" si="40">IF(H64=0,0,IF($C$29*1/$C$28&gt;H66,$C$29*1/$C$28,H66))</f>
        <v>0.4</v>
      </c>
      <c r="I67" s="8">
        <f t="shared" si="40"/>
        <v>0.4</v>
      </c>
      <c r="J67" s="8">
        <f t="shared" si="40"/>
        <v>0.5</v>
      </c>
      <c r="K67" s="8">
        <f t="shared" si="40"/>
        <v>1</v>
      </c>
      <c r="L67" s="10">
        <f t="shared" si="40"/>
        <v>0</v>
      </c>
      <c r="M67" s="10">
        <f t="shared" si="40"/>
        <v>0</v>
      </c>
    </row>
    <row r="68" spans="1:13" x14ac:dyDescent="0.3">
      <c r="A68" s="13" t="s">
        <v>95</v>
      </c>
      <c r="B68" s="13" t="s">
        <v>91</v>
      </c>
      <c r="G68" s="10">
        <f>G65*G67</f>
        <v>7309058.8000000007</v>
      </c>
      <c r="H68" s="10">
        <f t="shared" ref="H68:M68" si="41">H65*H67</f>
        <v>4385435.28</v>
      </c>
      <c r="I68" s="10">
        <f t="shared" si="41"/>
        <v>2631261.1679999996</v>
      </c>
      <c r="J68" s="10">
        <f t="shared" si="41"/>
        <v>1973445.8759999997</v>
      </c>
      <c r="K68" s="10">
        <f t="shared" si="41"/>
        <v>1973445.8759999997</v>
      </c>
      <c r="L68" s="10">
        <f t="shared" si="41"/>
        <v>0</v>
      </c>
      <c r="M68" s="10">
        <f t="shared" si="41"/>
        <v>0</v>
      </c>
    </row>
    <row r="69" spans="1:13" x14ac:dyDescent="0.3">
      <c r="A69" s="13" t="s">
        <v>96</v>
      </c>
      <c r="B69" s="13" t="s">
        <v>91</v>
      </c>
      <c r="G69" s="10">
        <f>G65-G68</f>
        <v>10963588.199999999</v>
      </c>
      <c r="H69" s="10">
        <f t="shared" ref="H69:M69" si="42">H65-H68</f>
        <v>6578152.919999999</v>
      </c>
      <c r="I69" s="10">
        <f t="shared" si="42"/>
        <v>3946891.7519999994</v>
      </c>
      <c r="J69" s="10">
        <f t="shared" si="42"/>
        <v>1973445.8759999997</v>
      </c>
      <c r="K69" s="10">
        <f t="shared" si="42"/>
        <v>0</v>
      </c>
      <c r="L69" s="10">
        <f t="shared" si="42"/>
        <v>0</v>
      </c>
      <c r="M69" s="10">
        <f t="shared" si="42"/>
        <v>0</v>
      </c>
    </row>
    <row r="70" spans="1:13" x14ac:dyDescent="0.3">
      <c r="A70" s="13"/>
      <c r="B70" s="13"/>
    </row>
    <row r="71" spans="1:13" x14ac:dyDescent="0.3">
      <c r="A71" s="12" t="s">
        <v>103</v>
      </c>
      <c r="B71" s="13"/>
    </row>
    <row r="72" spans="1:13" x14ac:dyDescent="0.3">
      <c r="A72" s="13" t="s">
        <v>89</v>
      </c>
      <c r="B72" s="13" t="s">
        <v>83</v>
      </c>
      <c r="H72" s="10">
        <f>IF($C$28&lt;H$3,$C$28,H$3)</f>
        <v>5</v>
      </c>
      <c r="I72" s="10">
        <f>IF(H72=0,0,IF(H72-1&lt;I$3,H72-1,I$3))</f>
        <v>4</v>
      </c>
      <c r="J72" s="10">
        <f t="shared" ref="J72:M72" si="43">IF(I72=0,0,IF(I72-1&lt;J$3,I72-1,J$3))</f>
        <v>3</v>
      </c>
      <c r="K72" s="10">
        <f t="shared" si="43"/>
        <v>2</v>
      </c>
      <c r="L72" s="10">
        <f t="shared" si="43"/>
        <v>1</v>
      </c>
      <c r="M72" s="10">
        <f t="shared" si="43"/>
        <v>0</v>
      </c>
    </row>
    <row r="73" spans="1:13" x14ac:dyDescent="0.3">
      <c r="A73" s="13" t="s">
        <v>90</v>
      </c>
      <c r="B73" s="13" t="s">
        <v>91</v>
      </c>
      <c r="H73" s="10">
        <f>'Modèle de base (CM 2003)'!H15</f>
        <v>4482500</v>
      </c>
      <c r="I73" s="10">
        <f>H77</f>
        <v>2689500</v>
      </c>
      <c r="J73" s="10">
        <f t="shared" ref="J73:M73" si="44">I77</f>
        <v>1613700</v>
      </c>
      <c r="K73" s="10">
        <f t="shared" si="44"/>
        <v>968220</v>
      </c>
      <c r="L73" s="10">
        <f t="shared" si="44"/>
        <v>484110</v>
      </c>
      <c r="M73" s="10">
        <f t="shared" si="44"/>
        <v>0</v>
      </c>
    </row>
    <row r="74" spans="1:13" x14ac:dyDescent="0.3">
      <c r="A74" s="13" t="s">
        <v>92</v>
      </c>
      <c r="B74" s="13" t="s">
        <v>93</v>
      </c>
      <c r="H74" s="8">
        <f>IF(H72=0,0,1/H72)</f>
        <v>0.2</v>
      </c>
      <c r="I74" s="8">
        <f t="shared" ref="I74:M74" si="45">IF(I72=0,0,1/I72)</f>
        <v>0.25</v>
      </c>
      <c r="J74" s="8">
        <f t="shared" si="45"/>
        <v>0.33333333333333331</v>
      </c>
      <c r="K74" s="8">
        <f t="shared" si="45"/>
        <v>0.5</v>
      </c>
      <c r="L74" s="8">
        <f t="shared" si="45"/>
        <v>1</v>
      </c>
      <c r="M74" s="10">
        <f t="shared" si="45"/>
        <v>0</v>
      </c>
    </row>
    <row r="75" spans="1:13" x14ac:dyDescent="0.3">
      <c r="A75" s="13" t="s">
        <v>94</v>
      </c>
      <c r="B75" s="13" t="s">
        <v>93</v>
      </c>
      <c r="H75" s="8">
        <f>IF(H72=0,0,IF($C$29*1/$C$28&gt;H74,$C$29*1/$C$28,H74))</f>
        <v>0.4</v>
      </c>
      <c r="I75" s="8">
        <f t="shared" ref="I75:M75" si="46">IF(I72=0,0,IF($C$29*1/$C$28&gt;I74,$C$29*1/$C$28,I74))</f>
        <v>0.4</v>
      </c>
      <c r="J75" s="8">
        <f t="shared" si="46"/>
        <v>0.4</v>
      </c>
      <c r="K75" s="8">
        <f t="shared" si="46"/>
        <v>0.5</v>
      </c>
      <c r="L75" s="8">
        <f t="shared" si="46"/>
        <v>1</v>
      </c>
      <c r="M75" s="10">
        <f t="shared" si="46"/>
        <v>0</v>
      </c>
    </row>
    <row r="76" spans="1:13" x14ac:dyDescent="0.3">
      <c r="A76" s="13" t="s">
        <v>95</v>
      </c>
      <c r="B76" s="13" t="s">
        <v>91</v>
      </c>
      <c r="H76" s="10">
        <f>H73*H75</f>
        <v>1793000</v>
      </c>
      <c r="I76" s="10">
        <f t="shared" ref="I76:M76" si="47">I73*I75</f>
        <v>1075800</v>
      </c>
      <c r="J76" s="10">
        <f t="shared" si="47"/>
        <v>645480</v>
      </c>
      <c r="K76" s="10">
        <f t="shared" si="47"/>
        <v>484110</v>
      </c>
      <c r="L76" s="10">
        <f t="shared" si="47"/>
        <v>484110</v>
      </c>
      <c r="M76" s="10">
        <f t="shared" si="47"/>
        <v>0</v>
      </c>
    </row>
    <row r="77" spans="1:13" x14ac:dyDescent="0.3">
      <c r="A77" s="13" t="s">
        <v>96</v>
      </c>
      <c r="B77" s="13" t="s">
        <v>91</v>
      </c>
      <c r="H77" s="10">
        <f>H73-H76</f>
        <v>2689500</v>
      </c>
      <c r="I77" s="10">
        <f t="shared" ref="I77:M77" si="48">I73-I76</f>
        <v>1613700</v>
      </c>
      <c r="J77" s="10">
        <f t="shared" si="48"/>
        <v>968220</v>
      </c>
      <c r="K77" s="10">
        <f t="shared" si="48"/>
        <v>484110</v>
      </c>
      <c r="L77" s="10">
        <f t="shared" si="48"/>
        <v>0</v>
      </c>
      <c r="M77" s="10">
        <f t="shared" si="48"/>
        <v>0</v>
      </c>
    </row>
    <row r="78" spans="1:13" x14ac:dyDescent="0.3">
      <c r="A78" s="13"/>
      <c r="B78" s="13"/>
    </row>
    <row r="79" spans="1:13" x14ac:dyDescent="0.3">
      <c r="A79" s="12" t="s">
        <v>104</v>
      </c>
      <c r="B79" s="13"/>
    </row>
    <row r="80" spans="1:13" x14ac:dyDescent="0.3">
      <c r="A80" s="13" t="s">
        <v>89</v>
      </c>
      <c r="B80" s="13" t="s">
        <v>83</v>
      </c>
      <c r="I80" s="10">
        <f>IF($C$28&lt;I$3,$C$28,I$3)</f>
        <v>5</v>
      </c>
      <c r="J80" s="10">
        <f>IF(I80=0,0,IF(I80-1&lt;J$3,I80-1,J$3))</f>
        <v>4</v>
      </c>
      <c r="K80" s="10">
        <f t="shared" ref="K80:M80" si="49">IF(J80=0,0,IF(J80-1&lt;K$3,J80-1,K$3))</f>
        <v>3</v>
      </c>
      <c r="L80" s="10">
        <f t="shared" si="49"/>
        <v>2</v>
      </c>
      <c r="M80" s="10">
        <f t="shared" si="49"/>
        <v>1</v>
      </c>
    </row>
    <row r="81" spans="1:13" x14ac:dyDescent="0.3">
      <c r="A81" s="13" t="s">
        <v>90</v>
      </c>
      <c r="B81" s="13" t="s">
        <v>91</v>
      </c>
      <c r="I81" s="10">
        <f>'Modèle de base (CM 2003)'!I15</f>
        <v>2137128</v>
      </c>
      <c r="J81" s="10">
        <f>I85</f>
        <v>1282276.7999999998</v>
      </c>
      <c r="K81" s="10">
        <f t="shared" ref="K81:M81" si="50">J85</f>
        <v>769366.07999999984</v>
      </c>
      <c r="L81" s="10">
        <f t="shared" si="50"/>
        <v>461619.64799999987</v>
      </c>
      <c r="M81" s="10">
        <f t="shared" si="50"/>
        <v>230809.82399999994</v>
      </c>
    </row>
    <row r="82" spans="1:13" x14ac:dyDescent="0.3">
      <c r="A82" s="13" t="s">
        <v>92</v>
      </c>
      <c r="B82" s="13" t="s">
        <v>93</v>
      </c>
      <c r="I82" s="8">
        <f>IF(I80=0,0,1/I80)</f>
        <v>0.2</v>
      </c>
      <c r="J82" s="8">
        <f t="shared" ref="J82:M82" si="51">IF(J80=0,0,1/J80)</f>
        <v>0.25</v>
      </c>
      <c r="K82" s="8">
        <f t="shared" si="51"/>
        <v>0.33333333333333331</v>
      </c>
      <c r="L82" s="8">
        <f t="shared" si="51"/>
        <v>0.5</v>
      </c>
      <c r="M82" s="8">
        <f t="shared" si="51"/>
        <v>1</v>
      </c>
    </row>
    <row r="83" spans="1:13" x14ac:dyDescent="0.3">
      <c r="A83" s="13" t="s">
        <v>94</v>
      </c>
      <c r="B83" s="13" t="s">
        <v>93</v>
      </c>
      <c r="I83" s="8">
        <f>IF(I80=0,0,IF($C$29*1/$C$28&gt;I82,$C$29*1/$C$28,I82))</f>
        <v>0.4</v>
      </c>
      <c r="J83" s="8">
        <f t="shared" ref="J83:M83" si="52">IF(J80=0,0,IF($C$29*1/$C$28&gt;J82,$C$29*1/$C$28,J82))</f>
        <v>0.4</v>
      </c>
      <c r="K83" s="8">
        <f t="shared" si="52"/>
        <v>0.4</v>
      </c>
      <c r="L83" s="8">
        <f t="shared" si="52"/>
        <v>0.5</v>
      </c>
      <c r="M83" s="8">
        <f t="shared" si="52"/>
        <v>1</v>
      </c>
    </row>
    <row r="84" spans="1:13" x14ac:dyDescent="0.3">
      <c r="A84" s="13" t="s">
        <v>95</v>
      </c>
      <c r="B84" s="13" t="s">
        <v>91</v>
      </c>
      <c r="I84" s="10">
        <f>I81*I83</f>
        <v>854851.20000000007</v>
      </c>
      <c r="J84" s="10">
        <f t="shared" ref="J84:M84" si="53">J81*J83</f>
        <v>512910.72</v>
      </c>
      <c r="K84" s="10">
        <f t="shared" si="53"/>
        <v>307746.43199999997</v>
      </c>
      <c r="L84" s="10">
        <f t="shared" si="53"/>
        <v>230809.82399999994</v>
      </c>
      <c r="M84" s="10">
        <f t="shared" si="53"/>
        <v>230809.82399999994</v>
      </c>
    </row>
    <row r="85" spans="1:13" x14ac:dyDescent="0.3">
      <c r="A85" s="13" t="s">
        <v>96</v>
      </c>
      <c r="B85" s="13" t="s">
        <v>91</v>
      </c>
      <c r="I85" s="10">
        <f>I81-I84</f>
        <v>1282276.7999999998</v>
      </c>
      <c r="J85" s="10">
        <f t="shared" ref="J85:M85" si="54">J81-J84</f>
        <v>769366.07999999984</v>
      </c>
      <c r="K85" s="10">
        <f t="shared" si="54"/>
        <v>461619.64799999987</v>
      </c>
      <c r="L85" s="10">
        <f t="shared" si="54"/>
        <v>230809.82399999994</v>
      </c>
      <c r="M85" s="10">
        <f t="shared" si="54"/>
        <v>0</v>
      </c>
    </row>
    <row r="86" spans="1:13" x14ac:dyDescent="0.3">
      <c r="A86" s="13"/>
      <c r="B86" s="13"/>
    </row>
    <row r="87" spans="1:13" x14ac:dyDescent="0.3">
      <c r="A87" s="12" t="s">
        <v>105</v>
      </c>
      <c r="B87" s="13"/>
    </row>
    <row r="88" spans="1:13" x14ac:dyDescent="0.3">
      <c r="A88" s="13" t="s">
        <v>89</v>
      </c>
      <c r="B88" s="13" t="s">
        <v>83</v>
      </c>
      <c r="J88" s="10">
        <f>IF($C$28&lt;J$3,$C$28,J$3)</f>
        <v>4</v>
      </c>
      <c r="K88" s="10">
        <f>IF(J88=0,0,IF(J88-1&lt;K$3,J88-1,K$3))</f>
        <v>3</v>
      </c>
      <c r="L88" s="10">
        <f t="shared" ref="L88:M88" si="55">IF(K88=0,0,IF(K88-1&lt;L$3,K88-1,L$3))</f>
        <v>2</v>
      </c>
      <c r="M88" s="10">
        <f t="shared" si="55"/>
        <v>1</v>
      </c>
    </row>
    <row r="89" spans="1:13" x14ac:dyDescent="0.3">
      <c r="A89" s="13" t="s">
        <v>90</v>
      </c>
      <c r="B89" s="13" t="s">
        <v>91</v>
      </c>
      <c r="J89" s="10">
        <f>'Modèle de base (CM 2003)'!J15</f>
        <v>1103055</v>
      </c>
      <c r="K89" s="10">
        <f>J93</f>
        <v>661833</v>
      </c>
      <c r="L89" s="10">
        <f t="shared" ref="L89:M89" si="56">K93</f>
        <v>397099.8</v>
      </c>
      <c r="M89" s="10">
        <f t="shared" si="56"/>
        <v>198549.9</v>
      </c>
    </row>
    <row r="90" spans="1:13" x14ac:dyDescent="0.3">
      <c r="A90" s="13" t="s">
        <v>92</v>
      </c>
      <c r="B90" s="13" t="s">
        <v>93</v>
      </c>
      <c r="J90" s="8">
        <f>IF(J88=0,0,1/J88)</f>
        <v>0.25</v>
      </c>
      <c r="K90" s="8">
        <f t="shared" ref="K90:M90" si="57">IF(K88=0,0,1/K88)</f>
        <v>0.33333333333333331</v>
      </c>
      <c r="L90" s="8">
        <f t="shared" si="57"/>
        <v>0.5</v>
      </c>
      <c r="M90" s="8">
        <f t="shared" si="57"/>
        <v>1</v>
      </c>
    </row>
    <row r="91" spans="1:13" x14ac:dyDescent="0.3">
      <c r="A91" s="13" t="s">
        <v>94</v>
      </c>
      <c r="B91" s="13" t="s">
        <v>93</v>
      </c>
      <c r="J91" s="8">
        <f>IF(J88=0,0,IF($C$29*1/$C$28&gt;J90,$C$29*1/$C$28,J90))</f>
        <v>0.4</v>
      </c>
      <c r="K91" s="8">
        <f t="shared" ref="K91:M91" si="58">IF(K88=0,0,IF($C$29*1/$C$28&gt;K90,$C$29*1/$C$28,K90))</f>
        <v>0.4</v>
      </c>
      <c r="L91" s="8">
        <f t="shared" si="58"/>
        <v>0.5</v>
      </c>
      <c r="M91" s="8">
        <f t="shared" si="58"/>
        <v>1</v>
      </c>
    </row>
    <row r="92" spans="1:13" x14ac:dyDescent="0.3">
      <c r="A92" s="13" t="s">
        <v>95</v>
      </c>
      <c r="B92" s="13" t="s">
        <v>91</v>
      </c>
      <c r="J92" s="10">
        <f>J89*J91</f>
        <v>441222</v>
      </c>
      <c r="K92" s="10">
        <f t="shared" ref="K92:M92" si="59">K89*K91</f>
        <v>264733.2</v>
      </c>
      <c r="L92" s="10">
        <f t="shared" si="59"/>
        <v>198549.9</v>
      </c>
      <c r="M92" s="10">
        <f t="shared" si="59"/>
        <v>198549.9</v>
      </c>
    </row>
    <row r="93" spans="1:13" x14ac:dyDescent="0.3">
      <c r="A93" s="13" t="s">
        <v>96</v>
      </c>
      <c r="B93" s="13" t="s">
        <v>91</v>
      </c>
      <c r="J93" s="10">
        <f>J89-J92</f>
        <v>661833</v>
      </c>
      <c r="K93" s="10">
        <f t="shared" ref="K93:M93" si="60">K89-K92</f>
        <v>397099.8</v>
      </c>
      <c r="L93" s="10">
        <f t="shared" si="60"/>
        <v>198549.9</v>
      </c>
      <c r="M93" s="10">
        <f t="shared" si="60"/>
        <v>0</v>
      </c>
    </row>
    <row r="94" spans="1:13" x14ac:dyDescent="0.3">
      <c r="A94" s="13"/>
      <c r="B94" s="13"/>
    </row>
    <row r="95" spans="1:13" x14ac:dyDescent="0.3">
      <c r="A95" s="12" t="s">
        <v>106</v>
      </c>
      <c r="B95" s="13"/>
    </row>
    <row r="96" spans="1:13" x14ac:dyDescent="0.3">
      <c r="A96" s="13" t="s">
        <v>89</v>
      </c>
      <c r="B96" s="13" t="s">
        <v>83</v>
      </c>
      <c r="K96" s="10">
        <f>IF($C$28&lt;K$3,$C$28,K$3)</f>
        <v>3</v>
      </c>
      <c r="L96" s="10">
        <f>IF(K96=0,0,IF(K96-1&lt;L$3,K96-1,L$3))</f>
        <v>2</v>
      </c>
      <c r="M96" s="10">
        <f>IF(L96=0,0,IF(L96-1&lt;M$3,L96-1,M$3))</f>
        <v>1</v>
      </c>
    </row>
    <row r="97" spans="1:13" x14ac:dyDescent="0.3">
      <c r="A97" s="13" t="s">
        <v>90</v>
      </c>
      <c r="B97" s="13" t="s">
        <v>91</v>
      </c>
      <c r="K97" s="10">
        <f>'Modèle de base (CM 2003)'!K15</f>
        <v>4934651</v>
      </c>
      <c r="L97" s="10">
        <f>K101</f>
        <v>2960790.5999999996</v>
      </c>
      <c r="M97" s="10">
        <f>L101</f>
        <v>1480395.2999999998</v>
      </c>
    </row>
    <row r="98" spans="1:13" x14ac:dyDescent="0.3">
      <c r="A98" s="13" t="s">
        <v>92</v>
      </c>
      <c r="B98" s="13" t="s">
        <v>93</v>
      </c>
      <c r="K98" s="8">
        <f>IF(K96=0,0,1/K96)</f>
        <v>0.33333333333333331</v>
      </c>
      <c r="L98" s="8">
        <f t="shared" ref="L98:M98" si="61">IF(L96=0,0,1/L96)</f>
        <v>0.5</v>
      </c>
      <c r="M98" s="8">
        <f t="shared" si="61"/>
        <v>1</v>
      </c>
    </row>
    <row r="99" spans="1:13" x14ac:dyDescent="0.3">
      <c r="A99" s="13" t="s">
        <v>94</v>
      </c>
      <c r="B99" s="13" t="s">
        <v>93</v>
      </c>
      <c r="K99" s="8">
        <f>IF(K96=0,0,IF($C$29*1/$C$28&gt;K98,$C$29*1/$C$28,K98))</f>
        <v>0.4</v>
      </c>
      <c r="L99" s="8">
        <f t="shared" ref="L99:M99" si="62">IF(L96=0,0,IF($C$29*1/$C$28&gt;L98,$C$29*1/$C$28,L98))</f>
        <v>0.5</v>
      </c>
      <c r="M99" s="8">
        <f t="shared" si="62"/>
        <v>1</v>
      </c>
    </row>
    <row r="100" spans="1:13" x14ac:dyDescent="0.3">
      <c r="A100" s="13" t="s">
        <v>95</v>
      </c>
      <c r="B100" s="13" t="s">
        <v>91</v>
      </c>
      <c r="K100" s="10">
        <f>K97*K99</f>
        <v>1973860.4000000001</v>
      </c>
      <c r="L100" s="10">
        <f t="shared" ref="L100:M100" si="63">L97*L99</f>
        <v>1480395.2999999998</v>
      </c>
      <c r="M100" s="10">
        <f t="shared" si="63"/>
        <v>1480395.2999999998</v>
      </c>
    </row>
    <row r="101" spans="1:13" x14ac:dyDescent="0.3">
      <c r="A101" s="13" t="s">
        <v>96</v>
      </c>
      <c r="B101" s="13" t="s">
        <v>91</v>
      </c>
      <c r="K101" s="10">
        <f>K97-K100</f>
        <v>2960790.5999999996</v>
      </c>
      <c r="L101" s="10">
        <f t="shared" ref="L101:M101" si="64">L97-L100</f>
        <v>1480395.2999999998</v>
      </c>
      <c r="M101" s="10">
        <f t="shared" si="64"/>
        <v>0</v>
      </c>
    </row>
    <row r="102" spans="1:13" x14ac:dyDescent="0.3">
      <c r="A102" s="13"/>
      <c r="B102" s="13"/>
    </row>
    <row r="103" spans="1:13" x14ac:dyDescent="0.3">
      <c r="A103" s="12" t="s">
        <v>107</v>
      </c>
      <c r="B103" s="13"/>
    </row>
    <row r="104" spans="1:13" x14ac:dyDescent="0.3">
      <c r="A104" s="13" t="s">
        <v>89</v>
      </c>
      <c r="B104" s="13" t="s">
        <v>83</v>
      </c>
      <c r="L104" s="10">
        <f>IF($C$28&lt;L$3,$C$28,L$3)</f>
        <v>2</v>
      </c>
      <c r="M104" s="10">
        <f>IF(L104=0,0,IF(L104-1&lt;M$3,L104-1,M$3))</f>
        <v>1</v>
      </c>
    </row>
    <row r="105" spans="1:13" x14ac:dyDescent="0.3">
      <c r="A105" s="13" t="s">
        <v>90</v>
      </c>
      <c r="B105" s="13" t="s">
        <v>91</v>
      </c>
      <c r="L105" s="10">
        <f>'Modèle de base (CM 2003)'!L15</f>
        <v>2727670</v>
      </c>
      <c r="M105" s="10">
        <f>L109</f>
        <v>1363835</v>
      </c>
    </row>
    <row r="106" spans="1:13" x14ac:dyDescent="0.3">
      <c r="A106" s="13" t="s">
        <v>92</v>
      </c>
      <c r="B106" s="13" t="s">
        <v>93</v>
      </c>
      <c r="L106" s="8">
        <f>IF(L104=0,0,1/L104)</f>
        <v>0.5</v>
      </c>
      <c r="M106" s="8">
        <f>IF(M104=0,0,1/M104)</f>
        <v>1</v>
      </c>
    </row>
    <row r="107" spans="1:13" x14ac:dyDescent="0.3">
      <c r="A107" s="13" t="s">
        <v>94</v>
      </c>
      <c r="B107" s="13" t="s">
        <v>93</v>
      </c>
      <c r="L107" s="8">
        <f>IF(L104=0,0,IF($C$29*1/$C$28&gt;L106,$C$29*1/$C$28,L106))</f>
        <v>0.5</v>
      </c>
      <c r="M107" s="8">
        <f>IF(M104=0,0,IF($C$29*1/$C$28&gt;M106,$C$29*1/$C$28,M106))</f>
        <v>1</v>
      </c>
    </row>
    <row r="108" spans="1:13" x14ac:dyDescent="0.3">
      <c r="A108" s="13" t="s">
        <v>95</v>
      </c>
      <c r="B108" s="13" t="s">
        <v>91</v>
      </c>
      <c r="L108" s="10">
        <f>L105*L107</f>
        <v>1363835</v>
      </c>
      <c r="M108" s="10">
        <f>M105*M107</f>
        <v>1363835</v>
      </c>
    </row>
    <row r="109" spans="1:13" x14ac:dyDescent="0.3">
      <c r="A109" s="13" t="s">
        <v>96</v>
      </c>
      <c r="B109" s="13" t="s">
        <v>91</v>
      </c>
      <c r="L109" s="10">
        <f>L105-L108</f>
        <v>1363835</v>
      </c>
      <c r="M109" s="10">
        <f>M105-M108</f>
        <v>0</v>
      </c>
    </row>
    <row r="110" spans="1:13" x14ac:dyDescent="0.3">
      <c r="A110" s="13"/>
      <c r="B110" s="13"/>
    </row>
    <row r="111" spans="1:13" x14ac:dyDescent="0.3">
      <c r="A111" s="12" t="s">
        <v>108</v>
      </c>
      <c r="B111" s="13"/>
    </row>
    <row r="112" spans="1:13" x14ac:dyDescent="0.3">
      <c r="A112" s="13" t="s">
        <v>89</v>
      </c>
      <c r="B112" s="13" t="s">
        <v>83</v>
      </c>
      <c r="M112" s="10">
        <f>IF($C$28&lt;M$3,$C$28,M$3)</f>
        <v>1</v>
      </c>
    </row>
    <row r="113" spans="1:13" x14ac:dyDescent="0.3">
      <c r="A113" s="13" t="s">
        <v>90</v>
      </c>
      <c r="B113" s="13" t="s">
        <v>91</v>
      </c>
      <c r="M113" s="10">
        <f>'Modèle de base (CM 2003)'!M15</f>
        <v>542926</v>
      </c>
    </row>
    <row r="114" spans="1:13" x14ac:dyDescent="0.3">
      <c r="A114" s="13" t="s">
        <v>92</v>
      </c>
      <c r="B114" s="13" t="s">
        <v>93</v>
      </c>
      <c r="M114" s="8">
        <f>IF(M112=0,0,1/M112)</f>
        <v>1</v>
      </c>
    </row>
    <row r="115" spans="1:13" x14ac:dyDescent="0.3">
      <c r="A115" s="13" t="s">
        <v>94</v>
      </c>
      <c r="B115" s="13" t="s">
        <v>93</v>
      </c>
      <c r="M115" s="8">
        <f>IF(M112=0,0,IF($C$29*1/$C$28&gt;M114,$C$29*1/$C$28,M114))</f>
        <v>1</v>
      </c>
    </row>
    <row r="116" spans="1:13" x14ac:dyDescent="0.3">
      <c r="A116" s="13" t="s">
        <v>95</v>
      </c>
      <c r="B116" s="13" t="s">
        <v>91</v>
      </c>
      <c r="M116" s="10">
        <f>M113*M115</f>
        <v>542926</v>
      </c>
    </row>
    <row r="117" spans="1:13" x14ac:dyDescent="0.3">
      <c r="A117" s="13" t="s">
        <v>96</v>
      </c>
      <c r="B117" s="13" t="s">
        <v>91</v>
      </c>
      <c r="M117" s="10">
        <f>M113-M116</f>
        <v>0</v>
      </c>
    </row>
    <row r="118" spans="1:13" x14ac:dyDescent="0.3">
      <c r="A118" s="13"/>
      <c r="B118" s="13"/>
    </row>
    <row r="119" spans="1:13" x14ac:dyDescent="0.3">
      <c r="A119" s="12" t="s">
        <v>109</v>
      </c>
      <c r="B119" s="13" t="s">
        <v>91</v>
      </c>
      <c r="C119" s="10">
        <f>C$36+C$44+C$52+C$60+C$68+C$76+C$84+C$92+C$100+C$108+C$116</f>
        <v>9474210.8000000007</v>
      </c>
      <c r="D119" s="10">
        <f t="shared" ref="D119:M119" si="65">D$36+D$44+D$52+D$60+D$68+D$76+D$84+D$92+D$100+D$108+D$116</f>
        <v>55804739.680000007</v>
      </c>
      <c r="E119" s="10">
        <f t="shared" si="65"/>
        <v>38136010.608000003</v>
      </c>
      <c r="F119" s="10">
        <f t="shared" si="65"/>
        <v>24882384.547999997</v>
      </c>
      <c r="G119" s="10">
        <f t="shared" si="65"/>
        <v>25968195.807999998</v>
      </c>
      <c r="H119" s="10">
        <f t="shared" si="65"/>
        <v>21503349.367999997</v>
      </c>
      <c r="I119" s="10">
        <f t="shared" si="65"/>
        <v>6220343.5199999996</v>
      </c>
      <c r="J119" s="10">
        <f t="shared" si="65"/>
        <v>3975134.7119999994</v>
      </c>
      <c r="K119" s="10">
        <f t="shared" si="65"/>
        <v>5003895.9079999998</v>
      </c>
      <c r="L119" s="10">
        <f t="shared" si="65"/>
        <v>3757700.0239999997</v>
      </c>
      <c r="M119" s="10">
        <f t="shared" si="65"/>
        <v>3816516.0239999997</v>
      </c>
    </row>
    <row r="122" spans="1:13" x14ac:dyDescent="0.3">
      <c r="A122" s="96" t="s">
        <v>213</v>
      </c>
      <c r="B122" s="10" t="s">
        <v>91</v>
      </c>
      <c r="C122" s="10">
        <f>C$25+C$119</f>
        <v>14450237.300000001</v>
      </c>
      <c r="D122" s="10">
        <f t="shared" ref="D122:M122" si="66">D$25+D$119</f>
        <v>72391494.580000013</v>
      </c>
      <c r="E122" s="10">
        <f t="shared" si="66"/>
        <v>54722765.508000001</v>
      </c>
      <c r="F122" s="10">
        <f t="shared" si="66"/>
        <v>41469139.447999999</v>
      </c>
      <c r="G122" s="10">
        <f t="shared" si="66"/>
        <v>42554950.707999997</v>
      </c>
      <c r="H122" s="10">
        <f t="shared" si="66"/>
        <v>38090104.267999992</v>
      </c>
      <c r="I122" s="10">
        <f t="shared" si="66"/>
        <v>22807098.419999998</v>
      </c>
      <c r="J122" s="10">
        <f t="shared" si="66"/>
        <v>20561889.611999996</v>
      </c>
      <c r="K122" s="10">
        <f t="shared" si="66"/>
        <v>21590650.807999998</v>
      </c>
      <c r="L122" s="10">
        <f t="shared" si="66"/>
        <v>20344454.923999999</v>
      </c>
      <c r="M122" s="10">
        <f t="shared" si="66"/>
        <v>15427244.423999999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B754-70F5-420E-B76B-8EB2A44D62B7}">
  <sheetPr>
    <tabColor rgb="FF0070C0"/>
  </sheetPr>
  <dimension ref="A1:M21"/>
  <sheetViews>
    <sheetView workbookViewId="0">
      <pane xSplit="1" topLeftCell="B1" activePane="topRight" state="frozen"/>
      <selection pane="topRight" activeCell="B11" sqref="B11"/>
    </sheetView>
  </sheetViews>
  <sheetFormatPr baseColWidth="10" defaultRowHeight="14.4" x14ac:dyDescent="0.3"/>
  <cols>
    <col min="1" max="1" width="54.88671875" bestFit="1" customWidth="1"/>
    <col min="4" max="13" width="12.21875" bestFit="1" customWidth="1"/>
  </cols>
  <sheetData>
    <row r="1" spans="1:13" ht="18" x14ac:dyDescent="0.35">
      <c r="A1" s="62" t="s">
        <v>211</v>
      </c>
      <c r="B1" s="67" t="s">
        <v>0</v>
      </c>
      <c r="C1" s="67">
        <v>2011</v>
      </c>
      <c r="D1" s="67">
        <v>2012</v>
      </c>
      <c r="E1" s="67">
        <v>2013</v>
      </c>
      <c r="F1" s="67">
        <v>2014</v>
      </c>
      <c r="G1" s="67">
        <v>2015</v>
      </c>
      <c r="H1" s="67">
        <v>2016</v>
      </c>
      <c r="I1" s="67">
        <v>2017</v>
      </c>
      <c r="J1" s="67">
        <v>2018</v>
      </c>
      <c r="K1" s="67">
        <v>2019</v>
      </c>
      <c r="L1" s="67">
        <v>2020</v>
      </c>
      <c r="M1" s="67">
        <v>2021</v>
      </c>
    </row>
    <row r="2" spans="1:13" x14ac:dyDescent="0.3">
      <c r="A2" s="63"/>
    </row>
    <row r="3" spans="1:13" x14ac:dyDescent="0.3">
      <c r="A3" s="63"/>
    </row>
    <row r="4" spans="1:13" ht="18" x14ac:dyDescent="0.35">
      <c r="A4" s="62" t="s">
        <v>1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x14ac:dyDescent="0.3">
      <c r="A5" s="63" t="s">
        <v>2</v>
      </c>
      <c r="B5" t="s">
        <v>3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x14ac:dyDescent="0.3">
      <c r="A6" s="63" t="s">
        <v>4</v>
      </c>
      <c r="B6" t="s">
        <v>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x14ac:dyDescent="0.3">
      <c r="A7" s="63" t="s">
        <v>6</v>
      </c>
      <c r="B7" t="s">
        <v>7</v>
      </c>
      <c r="C7" s="35"/>
      <c r="D7" s="35"/>
      <c r="E7">
        <v>191176</v>
      </c>
      <c r="F7">
        <v>215238</v>
      </c>
      <c r="G7">
        <v>189807</v>
      </c>
      <c r="H7">
        <v>168325</v>
      </c>
      <c r="I7">
        <v>210971</v>
      </c>
      <c r="J7">
        <v>167700</v>
      </c>
      <c r="K7">
        <v>136799</v>
      </c>
      <c r="L7">
        <v>152798</v>
      </c>
      <c r="M7">
        <v>119370</v>
      </c>
    </row>
    <row r="8" spans="1:13" ht="18" x14ac:dyDescent="0.35">
      <c r="A8" s="62" t="s">
        <v>8</v>
      </c>
      <c r="B8">
        <v>1600</v>
      </c>
      <c r="C8" s="35"/>
      <c r="D8" s="35"/>
      <c r="E8" s="35">
        <v>1300</v>
      </c>
      <c r="F8" s="35">
        <v>1300</v>
      </c>
      <c r="G8" s="35">
        <v>1300</v>
      </c>
      <c r="H8" s="35">
        <v>1300</v>
      </c>
      <c r="I8" s="35">
        <v>1300</v>
      </c>
      <c r="J8" s="35">
        <v>1300</v>
      </c>
      <c r="K8" s="35">
        <v>1300</v>
      </c>
      <c r="L8" s="35">
        <v>1300</v>
      </c>
      <c r="M8" s="35">
        <v>1300</v>
      </c>
    </row>
    <row r="9" spans="1:13" x14ac:dyDescent="0.3">
      <c r="A9" s="63" t="s">
        <v>10</v>
      </c>
      <c r="B9" t="s">
        <v>11</v>
      </c>
      <c r="C9" s="35"/>
      <c r="D9" s="35"/>
      <c r="E9" s="35">
        <v>305881600</v>
      </c>
      <c r="F9" s="35">
        <v>344380800</v>
      </c>
      <c r="G9" s="35">
        <v>303691200</v>
      </c>
      <c r="H9" s="35">
        <v>269320000</v>
      </c>
      <c r="I9" s="35">
        <v>337553600</v>
      </c>
      <c r="J9" s="35">
        <v>268320000</v>
      </c>
      <c r="K9" s="35">
        <v>218878400</v>
      </c>
      <c r="L9" s="35">
        <v>244476800</v>
      </c>
      <c r="M9" s="35">
        <v>190992000</v>
      </c>
    </row>
    <row r="10" spans="1:13" x14ac:dyDescent="0.3">
      <c r="A10" s="63" t="s">
        <v>35</v>
      </c>
      <c r="B10">
        <v>493.00614999999999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x14ac:dyDescent="0.3">
      <c r="A11" s="63" t="s">
        <v>36</v>
      </c>
      <c r="B11" s="19">
        <v>0.05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x14ac:dyDescent="0.3">
      <c r="A12" s="63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3" ht="18" x14ac:dyDescent="0.35">
      <c r="A13" s="62" t="s">
        <v>12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</row>
    <row r="14" spans="1:13" x14ac:dyDescent="0.3">
      <c r="A14" s="64" t="s">
        <v>110</v>
      </c>
      <c r="B14" t="s">
        <v>11</v>
      </c>
      <c r="C14" s="35">
        <v>49760265</v>
      </c>
      <c r="D14" s="35">
        <v>116107284</v>
      </c>
      <c r="E14" s="35"/>
      <c r="F14" s="35"/>
      <c r="G14" s="35"/>
      <c r="H14" s="35"/>
      <c r="I14" s="35"/>
      <c r="J14" s="35"/>
      <c r="K14" s="35"/>
      <c r="L14" s="35"/>
      <c r="M14" s="35"/>
    </row>
    <row r="15" spans="1:13" x14ac:dyDescent="0.3">
      <c r="A15" s="64" t="s">
        <v>111</v>
      </c>
      <c r="C15" s="35">
        <v>23685527</v>
      </c>
      <c r="D15" s="35">
        <v>125300533</v>
      </c>
      <c r="E15" s="35">
        <v>11632917</v>
      </c>
      <c r="F15" s="35">
        <v>3722927</v>
      </c>
      <c r="G15" s="35">
        <v>18272647</v>
      </c>
      <c r="H15" s="35">
        <v>4482500</v>
      </c>
      <c r="I15" s="35">
        <v>2137128</v>
      </c>
      <c r="J15" s="35">
        <v>1103055</v>
      </c>
      <c r="K15" s="35">
        <v>4934651</v>
      </c>
      <c r="L15" s="35">
        <v>2727670</v>
      </c>
      <c r="M15" s="35">
        <v>542926</v>
      </c>
    </row>
    <row r="16" spans="1:13" x14ac:dyDescent="0.3">
      <c r="A16" s="63" t="s">
        <v>113</v>
      </c>
      <c r="B16" t="s">
        <v>11</v>
      </c>
      <c r="C16" s="35">
        <v>0</v>
      </c>
      <c r="D16" s="35">
        <v>0</v>
      </c>
      <c r="E16" s="35">
        <v>1595000</v>
      </c>
      <c r="F16" s="35">
        <v>2708200</v>
      </c>
      <c r="G16" s="35">
        <v>249700</v>
      </c>
      <c r="H16" s="35">
        <v>2581553</v>
      </c>
      <c r="I16" s="35">
        <v>469553</v>
      </c>
      <c r="J16" s="35">
        <v>3654542</v>
      </c>
      <c r="K16" s="35">
        <v>249700</v>
      </c>
      <c r="L16" s="35">
        <v>106700</v>
      </c>
      <c r="M16" s="35">
        <v>0</v>
      </c>
    </row>
    <row r="17" spans="1:13" x14ac:dyDescent="0.3">
      <c r="A17" s="64" t="s">
        <v>112</v>
      </c>
      <c r="B17" t="s">
        <v>11</v>
      </c>
      <c r="C17" s="35"/>
      <c r="D17" s="35"/>
      <c r="E17" s="35">
        <v>2830244</v>
      </c>
      <c r="F17" s="35">
        <v>3314368</v>
      </c>
      <c r="G17" s="35">
        <v>3215137</v>
      </c>
      <c r="H17" s="35">
        <v>3842412</v>
      </c>
      <c r="I17" s="35">
        <v>4018506</v>
      </c>
      <c r="J17" s="35">
        <v>2935298</v>
      </c>
      <c r="K17" s="35">
        <v>1813443</v>
      </c>
      <c r="L17" s="35">
        <v>1249254</v>
      </c>
      <c r="M17" s="35">
        <v>3165512</v>
      </c>
    </row>
    <row r="18" spans="1:13" x14ac:dyDescent="0.3">
      <c r="A18" s="63" t="s">
        <v>13</v>
      </c>
      <c r="B18" t="s">
        <v>11</v>
      </c>
      <c r="C18" s="35">
        <v>73445792</v>
      </c>
      <c r="D18" s="35">
        <v>241407817</v>
      </c>
      <c r="E18" s="35">
        <v>16058161</v>
      </c>
      <c r="F18" s="35">
        <v>9745495</v>
      </c>
      <c r="G18" s="35">
        <v>21737484</v>
      </c>
      <c r="H18" s="35">
        <v>10906465</v>
      </c>
      <c r="I18" s="35">
        <v>6625187</v>
      </c>
      <c r="J18" s="35">
        <v>7692895</v>
      </c>
      <c r="K18" s="35">
        <v>6997794</v>
      </c>
      <c r="L18" s="35">
        <v>4083624</v>
      </c>
      <c r="M18" s="35">
        <v>3708438</v>
      </c>
    </row>
    <row r="19" spans="1:13" x14ac:dyDescent="0.3">
      <c r="A19" s="63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</row>
    <row r="20" spans="1:13" ht="18" x14ac:dyDescent="0.35">
      <c r="A20" s="62" t="s">
        <v>14</v>
      </c>
      <c r="B20" t="s">
        <v>11</v>
      </c>
      <c r="C20" s="35">
        <v>0</v>
      </c>
      <c r="D20" s="35">
        <v>0</v>
      </c>
      <c r="E20" s="35">
        <v>115668594</v>
      </c>
      <c r="F20" s="35">
        <v>128519703</v>
      </c>
      <c r="G20" s="35">
        <v>131246978</v>
      </c>
      <c r="H20" s="35">
        <v>152348402</v>
      </c>
      <c r="I20" s="35">
        <v>157632470</v>
      </c>
      <c r="J20" s="35">
        <v>132358509</v>
      </c>
      <c r="K20" s="35">
        <v>107272479</v>
      </c>
      <c r="L20" s="35">
        <v>96975692</v>
      </c>
      <c r="M20" s="35">
        <v>9542514</v>
      </c>
    </row>
    <row r="21" spans="1:13" ht="18" x14ac:dyDescent="0.35">
      <c r="A21" s="62" t="s">
        <v>15</v>
      </c>
      <c r="B21" t="s">
        <v>9</v>
      </c>
      <c r="C21" s="35"/>
      <c r="D21" s="35"/>
      <c r="E21" s="35">
        <v>605.03721178390595</v>
      </c>
      <c r="F21" s="35">
        <v>597.10507902879601</v>
      </c>
      <c r="G21" s="35">
        <v>691.47596242498958</v>
      </c>
      <c r="H21" s="35">
        <v>905.08481806029999</v>
      </c>
      <c r="I21" s="35">
        <v>747.17600997293471</v>
      </c>
      <c r="J21" s="35">
        <v>789.25765652951702</v>
      </c>
      <c r="K21" s="35">
        <v>784.1612804187165</v>
      </c>
      <c r="L21" s="35">
        <v>634.66597730336787</v>
      </c>
      <c r="M21" s="35">
        <v>79.94063835134456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Graphique</vt:lpstr>
      <vt:lpstr>Récapitulatif</vt:lpstr>
      <vt:lpstr>Modèle de base (CM 2003)</vt:lpstr>
      <vt:lpstr>Code Minier 2015</vt:lpstr>
      <vt:lpstr>Code général des impôts 2017</vt:lpstr>
      <vt:lpstr>BURKINA code minier 2003</vt:lpstr>
      <vt:lpstr>Données fiscales</vt:lpstr>
      <vt:lpstr>Amortissement</vt:lpstr>
      <vt:lpstr>Données de la 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zeba</dc:creator>
  <cp:lastModifiedBy>Mohamed zeba</cp:lastModifiedBy>
  <dcterms:created xsi:type="dcterms:W3CDTF">2023-12-07T12:04:02Z</dcterms:created>
  <dcterms:modified xsi:type="dcterms:W3CDTF">2025-11-21T12:38:40Z</dcterms:modified>
</cp:coreProperties>
</file>